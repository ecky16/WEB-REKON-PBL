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ADMIN\2026\KHS\"/>
    </mc:Choice>
  </mc:AlternateContent>
  <xr:revisionPtr revIDLastSave="0" documentId="13_ncr:1_{1DF5C81A-4991-4C70-9690-8B60D587FE73}" xr6:coauthVersionLast="47" xr6:coauthVersionMax="47" xr10:uidLastSave="{00000000-0000-0000-0000-000000000000}"/>
  <bookViews>
    <workbookView xWindow="-110" yWindow="-110" windowWidth="19420" windowHeight="10300" xr2:uid="{00000000-000D-0000-FFFF-FFFF00000000}"/>
  </bookViews>
  <sheets>
    <sheet name="BoQ" sheetId="1" r:id="rId1"/>
  </sheets>
  <definedNames>
    <definedName name="_xlnm._FilterDatabase" localSheetId="0" hidden="1">BoQ!$A$8:$K$735</definedName>
    <definedName name="_xlnm.Print_Area" localSheetId="0">BoQ!$A$1:$K$735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32" i="1" l="1"/>
  <c r="H732" i="1"/>
  <c r="I731" i="1"/>
  <c r="H731" i="1"/>
  <c r="J731" i="1" s="1"/>
  <c r="I730" i="1"/>
  <c r="H730" i="1"/>
  <c r="I729" i="1"/>
  <c r="H729" i="1"/>
  <c r="I728" i="1"/>
  <c r="H728" i="1"/>
  <c r="I727" i="1"/>
  <c r="H727" i="1"/>
  <c r="J727" i="1" s="1"/>
  <c r="I726" i="1"/>
  <c r="H726" i="1"/>
  <c r="I725" i="1"/>
  <c r="H725" i="1"/>
  <c r="I724" i="1"/>
  <c r="H724" i="1"/>
  <c r="J724" i="1" s="1"/>
  <c r="I723" i="1"/>
  <c r="H723" i="1"/>
  <c r="J723" i="1" s="1"/>
  <c r="I722" i="1"/>
  <c r="H722" i="1"/>
  <c r="I721" i="1"/>
  <c r="H721" i="1"/>
  <c r="I720" i="1"/>
  <c r="H720" i="1"/>
  <c r="I719" i="1"/>
  <c r="H719" i="1"/>
  <c r="J719" i="1" s="1"/>
  <c r="I718" i="1"/>
  <c r="H718" i="1"/>
  <c r="I717" i="1"/>
  <c r="H717" i="1"/>
  <c r="I716" i="1"/>
  <c r="H716" i="1"/>
  <c r="I715" i="1"/>
  <c r="H715" i="1"/>
  <c r="J715" i="1" s="1"/>
  <c r="I714" i="1"/>
  <c r="H714" i="1"/>
  <c r="J714" i="1" s="1"/>
  <c r="I713" i="1"/>
  <c r="H713" i="1"/>
  <c r="I712" i="1"/>
  <c r="H712" i="1"/>
  <c r="J712" i="1" s="1"/>
  <c r="I711" i="1"/>
  <c r="H711" i="1"/>
  <c r="J711" i="1" s="1"/>
  <c r="I710" i="1"/>
  <c r="H710" i="1"/>
  <c r="I709" i="1"/>
  <c r="H709" i="1"/>
  <c r="I708" i="1"/>
  <c r="H708" i="1"/>
  <c r="J708" i="1" s="1"/>
  <c r="I707" i="1"/>
  <c r="H707" i="1"/>
  <c r="J707" i="1" s="1"/>
  <c r="I706" i="1"/>
  <c r="H706" i="1"/>
  <c r="I705" i="1"/>
  <c r="H705" i="1"/>
  <c r="I704" i="1"/>
  <c r="H704" i="1"/>
  <c r="I703" i="1"/>
  <c r="H703" i="1"/>
  <c r="J703" i="1" s="1"/>
  <c r="I702" i="1"/>
  <c r="H702" i="1"/>
  <c r="I701" i="1"/>
  <c r="H701" i="1"/>
  <c r="I700" i="1"/>
  <c r="H700" i="1"/>
  <c r="I699" i="1"/>
  <c r="H699" i="1"/>
  <c r="J699" i="1" s="1"/>
  <c r="I698" i="1"/>
  <c r="H698" i="1"/>
  <c r="I697" i="1"/>
  <c r="H697" i="1"/>
  <c r="I696" i="1"/>
  <c r="H696" i="1"/>
  <c r="I695" i="1"/>
  <c r="H695" i="1"/>
  <c r="J695" i="1" s="1"/>
  <c r="I694" i="1"/>
  <c r="H694" i="1"/>
  <c r="I693" i="1"/>
  <c r="H693" i="1"/>
  <c r="I692" i="1"/>
  <c r="H692" i="1"/>
  <c r="J692" i="1" s="1"/>
  <c r="I691" i="1"/>
  <c r="H691" i="1"/>
  <c r="J691" i="1" s="1"/>
  <c r="I690" i="1"/>
  <c r="H690" i="1"/>
  <c r="I689" i="1"/>
  <c r="H689" i="1"/>
  <c r="I688" i="1"/>
  <c r="H688" i="1"/>
  <c r="J688" i="1" s="1"/>
  <c r="I687" i="1"/>
  <c r="H687" i="1"/>
  <c r="I686" i="1"/>
  <c r="H686" i="1"/>
  <c r="I685" i="1"/>
  <c r="H685" i="1"/>
  <c r="I684" i="1"/>
  <c r="H684" i="1"/>
  <c r="J684" i="1" s="1"/>
  <c r="I683" i="1"/>
  <c r="H683" i="1"/>
  <c r="I682" i="1"/>
  <c r="H682" i="1"/>
  <c r="I681" i="1"/>
  <c r="H681" i="1"/>
  <c r="I680" i="1"/>
  <c r="H680" i="1"/>
  <c r="J680" i="1" s="1"/>
  <c r="I679" i="1"/>
  <c r="H679" i="1"/>
  <c r="J679" i="1" s="1"/>
  <c r="I678" i="1"/>
  <c r="H678" i="1"/>
  <c r="I677" i="1"/>
  <c r="H677" i="1"/>
  <c r="I676" i="1"/>
  <c r="H676" i="1"/>
  <c r="I675" i="1"/>
  <c r="H675" i="1"/>
  <c r="J675" i="1" s="1"/>
  <c r="I674" i="1"/>
  <c r="H674" i="1"/>
  <c r="I673" i="1"/>
  <c r="H673" i="1"/>
  <c r="I672" i="1"/>
  <c r="H672" i="1"/>
  <c r="I671" i="1"/>
  <c r="H671" i="1"/>
  <c r="I670" i="1"/>
  <c r="H670" i="1"/>
  <c r="I669" i="1"/>
  <c r="H669" i="1"/>
  <c r="I668" i="1"/>
  <c r="H668" i="1"/>
  <c r="J668" i="1" s="1"/>
  <c r="I667" i="1"/>
  <c r="H667" i="1"/>
  <c r="I666" i="1"/>
  <c r="H666" i="1"/>
  <c r="I665" i="1"/>
  <c r="H665" i="1"/>
  <c r="I664" i="1"/>
  <c r="H664" i="1"/>
  <c r="J664" i="1" s="1"/>
  <c r="I663" i="1"/>
  <c r="H663" i="1"/>
  <c r="J663" i="1" s="1"/>
  <c r="I662" i="1"/>
  <c r="H662" i="1"/>
  <c r="I661" i="1"/>
  <c r="H661" i="1"/>
  <c r="I660" i="1"/>
  <c r="H660" i="1"/>
  <c r="I659" i="1"/>
  <c r="H659" i="1"/>
  <c r="J659" i="1" s="1"/>
  <c r="I658" i="1"/>
  <c r="H658" i="1"/>
  <c r="I657" i="1"/>
  <c r="H657" i="1"/>
  <c r="I656" i="1"/>
  <c r="H656" i="1"/>
  <c r="J656" i="1" s="1"/>
  <c r="I655" i="1"/>
  <c r="H655" i="1"/>
  <c r="J655" i="1" s="1"/>
  <c r="I654" i="1"/>
  <c r="H654" i="1"/>
  <c r="I653" i="1"/>
  <c r="H653" i="1"/>
  <c r="I652" i="1"/>
  <c r="H652" i="1"/>
  <c r="J652" i="1" s="1"/>
  <c r="I651" i="1"/>
  <c r="H651" i="1"/>
  <c r="J651" i="1" s="1"/>
  <c r="I650" i="1"/>
  <c r="H650" i="1"/>
  <c r="I649" i="1"/>
  <c r="H649" i="1"/>
  <c r="I648" i="1"/>
  <c r="H648" i="1"/>
  <c r="I647" i="1"/>
  <c r="H647" i="1"/>
  <c r="I646" i="1"/>
  <c r="H646" i="1"/>
  <c r="I645" i="1"/>
  <c r="H645" i="1"/>
  <c r="I644" i="1"/>
  <c r="H644" i="1"/>
  <c r="J644" i="1" s="1"/>
  <c r="I643" i="1"/>
  <c r="H643" i="1"/>
  <c r="J643" i="1" s="1"/>
  <c r="I642" i="1"/>
  <c r="H642" i="1"/>
  <c r="I641" i="1"/>
  <c r="H641" i="1"/>
  <c r="I640" i="1"/>
  <c r="H640" i="1"/>
  <c r="J640" i="1" s="1"/>
  <c r="I639" i="1"/>
  <c r="H639" i="1"/>
  <c r="J639" i="1" s="1"/>
  <c r="I638" i="1"/>
  <c r="H638" i="1"/>
  <c r="I637" i="1"/>
  <c r="H637" i="1"/>
  <c r="I636" i="1"/>
  <c r="H636" i="1"/>
  <c r="J636" i="1" s="1"/>
  <c r="I635" i="1"/>
  <c r="H635" i="1"/>
  <c r="J635" i="1" s="1"/>
  <c r="I634" i="1"/>
  <c r="H634" i="1"/>
  <c r="I633" i="1"/>
  <c r="H633" i="1"/>
  <c r="I632" i="1"/>
  <c r="H632" i="1"/>
  <c r="I631" i="1"/>
  <c r="H631" i="1"/>
  <c r="I630" i="1"/>
  <c r="H630" i="1"/>
  <c r="I629" i="1"/>
  <c r="H629" i="1"/>
  <c r="I628" i="1"/>
  <c r="H628" i="1"/>
  <c r="J628" i="1" s="1"/>
  <c r="I627" i="1"/>
  <c r="H627" i="1"/>
  <c r="J627" i="1" s="1"/>
  <c r="I626" i="1"/>
  <c r="H626" i="1"/>
  <c r="I625" i="1"/>
  <c r="H625" i="1"/>
  <c r="I624" i="1"/>
  <c r="H624" i="1"/>
  <c r="I623" i="1"/>
  <c r="H623" i="1"/>
  <c r="J623" i="1" s="1"/>
  <c r="I622" i="1"/>
  <c r="H622" i="1"/>
  <c r="I621" i="1"/>
  <c r="H621" i="1"/>
  <c r="I620" i="1"/>
  <c r="H620" i="1"/>
  <c r="I619" i="1"/>
  <c r="H619" i="1"/>
  <c r="J619" i="1" s="1"/>
  <c r="I618" i="1"/>
  <c r="H618" i="1"/>
  <c r="J618" i="1" s="1"/>
  <c r="I617" i="1"/>
  <c r="H617" i="1"/>
  <c r="I616" i="1"/>
  <c r="H616" i="1"/>
  <c r="I615" i="1"/>
  <c r="H615" i="1"/>
  <c r="J615" i="1" s="1"/>
  <c r="I614" i="1"/>
  <c r="H614" i="1"/>
  <c r="I613" i="1"/>
  <c r="H613" i="1"/>
  <c r="I612" i="1"/>
  <c r="H612" i="1"/>
  <c r="I611" i="1"/>
  <c r="H611" i="1"/>
  <c r="J611" i="1" s="1"/>
  <c r="I610" i="1"/>
  <c r="H610" i="1"/>
  <c r="I609" i="1"/>
  <c r="H609" i="1"/>
  <c r="I608" i="1"/>
  <c r="H608" i="1"/>
  <c r="I607" i="1"/>
  <c r="H607" i="1"/>
  <c r="J607" i="1" s="1"/>
  <c r="I606" i="1"/>
  <c r="H606" i="1"/>
  <c r="J606" i="1" s="1"/>
  <c r="I605" i="1"/>
  <c r="H605" i="1"/>
  <c r="I604" i="1"/>
  <c r="H604" i="1"/>
  <c r="I603" i="1"/>
  <c r="H603" i="1"/>
  <c r="J603" i="1" s="1"/>
  <c r="I602" i="1"/>
  <c r="H602" i="1"/>
  <c r="J602" i="1" s="1"/>
  <c r="I601" i="1"/>
  <c r="H601" i="1"/>
  <c r="I600" i="1"/>
  <c r="H600" i="1"/>
  <c r="I599" i="1"/>
  <c r="H599" i="1"/>
  <c r="J599" i="1" s="1"/>
  <c r="I598" i="1"/>
  <c r="H598" i="1"/>
  <c r="I597" i="1"/>
  <c r="H597" i="1"/>
  <c r="I596" i="1"/>
  <c r="H596" i="1"/>
  <c r="I595" i="1"/>
  <c r="H595" i="1"/>
  <c r="J595" i="1" s="1"/>
  <c r="I594" i="1"/>
  <c r="H594" i="1"/>
  <c r="I593" i="1"/>
  <c r="H593" i="1"/>
  <c r="I592" i="1"/>
  <c r="H592" i="1"/>
  <c r="I591" i="1"/>
  <c r="H591" i="1"/>
  <c r="J591" i="1" s="1"/>
  <c r="I590" i="1"/>
  <c r="H590" i="1"/>
  <c r="J590" i="1" s="1"/>
  <c r="I589" i="1"/>
  <c r="H589" i="1"/>
  <c r="I588" i="1"/>
  <c r="H588" i="1"/>
  <c r="I587" i="1"/>
  <c r="H587" i="1"/>
  <c r="I586" i="1"/>
  <c r="H586" i="1"/>
  <c r="I585" i="1"/>
  <c r="H585" i="1"/>
  <c r="I584" i="1"/>
  <c r="H584" i="1"/>
  <c r="I583" i="1"/>
  <c r="H583" i="1"/>
  <c r="I582" i="1"/>
  <c r="H582" i="1"/>
  <c r="I581" i="1"/>
  <c r="H581" i="1"/>
  <c r="I580" i="1"/>
  <c r="H580" i="1"/>
  <c r="I579" i="1"/>
  <c r="H579" i="1"/>
  <c r="J579" i="1" s="1"/>
  <c r="I578" i="1"/>
  <c r="H578" i="1"/>
  <c r="I577" i="1"/>
  <c r="H577" i="1"/>
  <c r="I576" i="1"/>
  <c r="H576" i="1"/>
  <c r="I575" i="1"/>
  <c r="H575" i="1"/>
  <c r="J575" i="1" s="1"/>
  <c r="I574" i="1"/>
  <c r="H574" i="1"/>
  <c r="I573" i="1"/>
  <c r="H573" i="1"/>
  <c r="I572" i="1"/>
  <c r="H572" i="1"/>
  <c r="I571" i="1"/>
  <c r="H571" i="1"/>
  <c r="I570" i="1"/>
  <c r="H570" i="1"/>
  <c r="I569" i="1"/>
  <c r="H569" i="1"/>
  <c r="I568" i="1"/>
  <c r="H568" i="1"/>
  <c r="I567" i="1"/>
  <c r="H567" i="1"/>
  <c r="J567" i="1" s="1"/>
  <c r="I566" i="1"/>
  <c r="H566" i="1"/>
  <c r="I565" i="1"/>
  <c r="H565" i="1"/>
  <c r="I564" i="1"/>
  <c r="H564" i="1"/>
  <c r="I563" i="1"/>
  <c r="H563" i="1"/>
  <c r="I562" i="1"/>
  <c r="H562" i="1"/>
  <c r="I561" i="1"/>
  <c r="H561" i="1"/>
  <c r="I560" i="1"/>
  <c r="H560" i="1"/>
  <c r="I559" i="1"/>
  <c r="H559" i="1"/>
  <c r="J559" i="1" s="1"/>
  <c r="I558" i="1"/>
  <c r="H558" i="1"/>
  <c r="I557" i="1"/>
  <c r="H557" i="1"/>
  <c r="I556" i="1"/>
  <c r="H556" i="1"/>
  <c r="I555" i="1"/>
  <c r="H555" i="1"/>
  <c r="J555" i="1" s="1"/>
  <c r="I554" i="1"/>
  <c r="H554" i="1"/>
  <c r="I553" i="1"/>
  <c r="H553" i="1"/>
  <c r="I552" i="1"/>
  <c r="H552" i="1"/>
  <c r="I551" i="1"/>
  <c r="H551" i="1"/>
  <c r="J551" i="1" s="1"/>
  <c r="I550" i="1"/>
  <c r="H550" i="1"/>
  <c r="I549" i="1"/>
  <c r="H549" i="1"/>
  <c r="I548" i="1"/>
  <c r="H548" i="1"/>
  <c r="I547" i="1"/>
  <c r="H547" i="1"/>
  <c r="J547" i="1" s="1"/>
  <c r="I546" i="1"/>
  <c r="H546" i="1"/>
  <c r="I545" i="1"/>
  <c r="H545" i="1"/>
  <c r="I544" i="1"/>
  <c r="H544" i="1"/>
  <c r="I543" i="1"/>
  <c r="H543" i="1"/>
  <c r="J543" i="1" s="1"/>
  <c r="I542" i="1"/>
  <c r="H542" i="1"/>
  <c r="I541" i="1"/>
  <c r="H541" i="1"/>
  <c r="I540" i="1"/>
  <c r="H540" i="1"/>
  <c r="I539" i="1"/>
  <c r="H539" i="1"/>
  <c r="J539" i="1" s="1"/>
  <c r="I538" i="1"/>
  <c r="H538" i="1"/>
  <c r="I537" i="1"/>
  <c r="H537" i="1"/>
  <c r="I536" i="1"/>
  <c r="H536" i="1"/>
  <c r="I535" i="1"/>
  <c r="H535" i="1"/>
  <c r="J535" i="1" s="1"/>
  <c r="I534" i="1"/>
  <c r="H534" i="1"/>
  <c r="I533" i="1"/>
  <c r="H533" i="1"/>
  <c r="I532" i="1"/>
  <c r="H532" i="1"/>
  <c r="I531" i="1"/>
  <c r="H531" i="1"/>
  <c r="J531" i="1" s="1"/>
  <c r="I530" i="1"/>
  <c r="H530" i="1"/>
  <c r="I529" i="1"/>
  <c r="H529" i="1"/>
  <c r="I528" i="1"/>
  <c r="H528" i="1"/>
  <c r="I527" i="1"/>
  <c r="H527" i="1"/>
  <c r="J527" i="1" s="1"/>
  <c r="I526" i="1"/>
  <c r="H526" i="1"/>
  <c r="J526" i="1" s="1"/>
  <c r="I525" i="1"/>
  <c r="H525" i="1"/>
  <c r="I524" i="1"/>
  <c r="H524" i="1"/>
  <c r="I523" i="1"/>
  <c r="H523" i="1"/>
  <c r="I522" i="1"/>
  <c r="H522" i="1"/>
  <c r="J522" i="1" s="1"/>
  <c r="I521" i="1"/>
  <c r="H521" i="1"/>
  <c r="I520" i="1"/>
  <c r="H520" i="1"/>
  <c r="I519" i="1"/>
  <c r="H519" i="1"/>
  <c r="I518" i="1"/>
  <c r="H518" i="1"/>
  <c r="I517" i="1"/>
  <c r="H517" i="1"/>
  <c r="I516" i="1"/>
  <c r="H516" i="1"/>
  <c r="I515" i="1"/>
  <c r="H515" i="1"/>
  <c r="I514" i="1"/>
  <c r="H514" i="1"/>
  <c r="I513" i="1"/>
  <c r="H513" i="1"/>
  <c r="I512" i="1"/>
  <c r="H512" i="1"/>
  <c r="I511" i="1"/>
  <c r="H511" i="1"/>
  <c r="I510" i="1"/>
  <c r="H510" i="1"/>
  <c r="I509" i="1"/>
  <c r="H509" i="1"/>
  <c r="I508" i="1"/>
  <c r="H508" i="1"/>
  <c r="I507" i="1"/>
  <c r="H507" i="1"/>
  <c r="I506" i="1"/>
  <c r="H506" i="1"/>
  <c r="I505" i="1"/>
  <c r="H505" i="1"/>
  <c r="I504" i="1"/>
  <c r="H504" i="1"/>
  <c r="I503" i="1"/>
  <c r="H503" i="1"/>
  <c r="I502" i="1"/>
  <c r="H502" i="1"/>
  <c r="I501" i="1"/>
  <c r="H501" i="1"/>
  <c r="I500" i="1"/>
  <c r="H500" i="1"/>
  <c r="I499" i="1"/>
  <c r="H499" i="1"/>
  <c r="I498" i="1"/>
  <c r="H498" i="1"/>
  <c r="J498" i="1" s="1"/>
  <c r="I497" i="1"/>
  <c r="H497" i="1"/>
  <c r="I496" i="1"/>
  <c r="H496" i="1"/>
  <c r="I495" i="1"/>
  <c r="H495" i="1"/>
  <c r="I494" i="1"/>
  <c r="H494" i="1"/>
  <c r="I493" i="1"/>
  <c r="H493" i="1"/>
  <c r="I492" i="1"/>
  <c r="H492" i="1"/>
  <c r="I491" i="1"/>
  <c r="H491" i="1"/>
  <c r="I490" i="1"/>
  <c r="H490" i="1"/>
  <c r="I489" i="1"/>
  <c r="H489" i="1"/>
  <c r="I488" i="1"/>
  <c r="H488" i="1"/>
  <c r="I487" i="1"/>
  <c r="H487" i="1"/>
  <c r="I486" i="1"/>
  <c r="H486" i="1"/>
  <c r="I485" i="1"/>
  <c r="H485" i="1"/>
  <c r="I484" i="1"/>
  <c r="H484" i="1"/>
  <c r="I483" i="1"/>
  <c r="H483" i="1"/>
  <c r="I482" i="1"/>
  <c r="H482" i="1"/>
  <c r="I481" i="1"/>
  <c r="H481" i="1"/>
  <c r="I480" i="1"/>
  <c r="H480" i="1"/>
  <c r="I479" i="1"/>
  <c r="H479" i="1"/>
  <c r="I478" i="1"/>
  <c r="H478" i="1"/>
  <c r="J478" i="1" s="1"/>
  <c r="I477" i="1"/>
  <c r="H477" i="1"/>
  <c r="I476" i="1"/>
  <c r="H476" i="1"/>
  <c r="I475" i="1"/>
  <c r="H475" i="1"/>
  <c r="I474" i="1"/>
  <c r="H474" i="1"/>
  <c r="J474" i="1" s="1"/>
  <c r="I473" i="1"/>
  <c r="H473" i="1"/>
  <c r="I472" i="1"/>
  <c r="H472" i="1"/>
  <c r="I471" i="1"/>
  <c r="H471" i="1"/>
  <c r="J471" i="1" s="1"/>
  <c r="I470" i="1"/>
  <c r="H470" i="1"/>
  <c r="I469" i="1"/>
  <c r="H469" i="1"/>
  <c r="I468" i="1"/>
  <c r="H468" i="1"/>
  <c r="J468" i="1" s="1"/>
  <c r="I467" i="1"/>
  <c r="J467" i="1" s="1"/>
  <c r="H467" i="1"/>
  <c r="I466" i="1"/>
  <c r="H466" i="1"/>
  <c r="I465" i="1"/>
  <c r="H465" i="1"/>
  <c r="I464" i="1"/>
  <c r="H464" i="1"/>
  <c r="J464" i="1" s="1"/>
  <c r="I463" i="1"/>
  <c r="H463" i="1"/>
  <c r="I462" i="1"/>
  <c r="H462" i="1"/>
  <c r="I461" i="1"/>
  <c r="H461" i="1"/>
  <c r="I460" i="1"/>
  <c r="H460" i="1"/>
  <c r="J460" i="1" s="1"/>
  <c r="I459" i="1"/>
  <c r="H459" i="1"/>
  <c r="I458" i="1"/>
  <c r="H458" i="1"/>
  <c r="I457" i="1"/>
  <c r="H457" i="1"/>
  <c r="J457" i="1" s="1"/>
  <c r="I456" i="1"/>
  <c r="H456" i="1"/>
  <c r="I455" i="1"/>
  <c r="H455" i="1"/>
  <c r="I454" i="1"/>
  <c r="H454" i="1"/>
  <c r="I453" i="1"/>
  <c r="H453" i="1"/>
  <c r="J453" i="1" s="1"/>
  <c r="I452" i="1"/>
  <c r="H452" i="1"/>
  <c r="I451" i="1"/>
  <c r="H451" i="1"/>
  <c r="I450" i="1"/>
  <c r="H450" i="1"/>
  <c r="I449" i="1"/>
  <c r="H449" i="1"/>
  <c r="I448" i="1"/>
  <c r="H448" i="1"/>
  <c r="J448" i="1" s="1"/>
  <c r="I447" i="1"/>
  <c r="H447" i="1"/>
  <c r="J447" i="1" s="1"/>
  <c r="I446" i="1"/>
  <c r="H446" i="1"/>
  <c r="I445" i="1"/>
  <c r="H445" i="1"/>
  <c r="I444" i="1"/>
  <c r="H444" i="1"/>
  <c r="I443" i="1"/>
  <c r="H443" i="1"/>
  <c r="I442" i="1"/>
  <c r="H442" i="1"/>
  <c r="I441" i="1"/>
  <c r="H441" i="1"/>
  <c r="I440" i="1"/>
  <c r="H440" i="1"/>
  <c r="I439" i="1"/>
  <c r="H439" i="1"/>
  <c r="J439" i="1" s="1"/>
  <c r="I438" i="1"/>
  <c r="H438" i="1"/>
  <c r="I437" i="1"/>
  <c r="H437" i="1"/>
  <c r="J437" i="1" s="1"/>
  <c r="I436" i="1"/>
  <c r="H436" i="1"/>
  <c r="J436" i="1" s="1"/>
  <c r="I435" i="1"/>
  <c r="H435" i="1"/>
  <c r="J435" i="1" s="1"/>
  <c r="I434" i="1"/>
  <c r="H434" i="1"/>
  <c r="I433" i="1"/>
  <c r="H433" i="1"/>
  <c r="J433" i="1" s="1"/>
  <c r="I432" i="1"/>
  <c r="H432" i="1"/>
  <c r="J432" i="1" s="1"/>
  <c r="I431" i="1"/>
  <c r="H431" i="1"/>
  <c r="J431" i="1" s="1"/>
  <c r="I430" i="1"/>
  <c r="H430" i="1"/>
  <c r="I429" i="1"/>
  <c r="H429" i="1"/>
  <c r="J429" i="1" s="1"/>
  <c r="I428" i="1"/>
  <c r="H428" i="1"/>
  <c r="J428" i="1" s="1"/>
  <c r="I427" i="1"/>
  <c r="H427" i="1"/>
  <c r="J427" i="1" s="1"/>
  <c r="I426" i="1"/>
  <c r="H426" i="1"/>
  <c r="I425" i="1"/>
  <c r="H425" i="1"/>
  <c r="J425" i="1" s="1"/>
  <c r="I424" i="1"/>
  <c r="H424" i="1"/>
  <c r="I423" i="1"/>
  <c r="H423" i="1"/>
  <c r="J423" i="1" s="1"/>
  <c r="I422" i="1"/>
  <c r="H422" i="1"/>
  <c r="I421" i="1"/>
  <c r="H421" i="1"/>
  <c r="J421" i="1" s="1"/>
  <c r="I420" i="1"/>
  <c r="H420" i="1"/>
  <c r="I419" i="1"/>
  <c r="H419" i="1"/>
  <c r="I418" i="1"/>
  <c r="H418" i="1"/>
  <c r="I417" i="1"/>
  <c r="H417" i="1"/>
  <c r="J417" i="1" s="1"/>
  <c r="I416" i="1"/>
  <c r="H416" i="1"/>
  <c r="J416" i="1" s="1"/>
  <c r="I415" i="1"/>
  <c r="H415" i="1"/>
  <c r="I414" i="1"/>
  <c r="H414" i="1"/>
  <c r="I413" i="1"/>
  <c r="H413" i="1"/>
  <c r="J413" i="1" s="1"/>
  <c r="I412" i="1"/>
  <c r="H412" i="1"/>
  <c r="J412" i="1" s="1"/>
  <c r="I411" i="1"/>
  <c r="H411" i="1"/>
  <c r="I410" i="1"/>
  <c r="H410" i="1"/>
  <c r="I409" i="1"/>
  <c r="H409" i="1"/>
  <c r="J409" i="1" s="1"/>
  <c r="I408" i="1"/>
  <c r="H408" i="1"/>
  <c r="J408" i="1" s="1"/>
  <c r="I407" i="1"/>
  <c r="H407" i="1"/>
  <c r="J407" i="1" s="1"/>
  <c r="I406" i="1"/>
  <c r="H406" i="1"/>
  <c r="I405" i="1"/>
  <c r="H405" i="1"/>
  <c r="I404" i="1"/>
  <c r="H404" i="1"/>
  <c r="J404" i="1" s="1"/>
  <c r="I403" i="1"/>
  <c r="H403" i="1"/>
  <c r="J403" i="1" s="1"/>
  <c r="I402" i="1"/>
  <c r="H402" i="1"/>
  <c r="I401" i="1"/>
  <c r="H401" i="1"/>
  <c r="I400" i="1"/>
  <c r="H400" i="1"/>
  <c r="I399" i="1"/>
  <c r="H399" i="1"/>
  <c r="J399" i="1" s="1"/>
  <c r="I398" i="1"/>
  <c r="H398" i="1"/>
  <c r="I397" i="1"/>
  <c r="H397" i="1"/>
  <c r="J397" i="1" s="1"/>
  <c r="I396" i="1"/>
  <c r="H396" i="1"/>
  <c r="I395" i="1"/>
  <c r="H395" i="1"/>
  <c r="I394" i="1"/>
  <c r="H394" i="1"/>
  <c r="I393" i="1"/>
  <c r="H393" i="1"/>
  <c r="J393" i="1" s="1"/>
  <c r="I392" i="1"/>
  <c r="H392" i="1"/>
  <c r="I391" i="1"/>
  <c r="H391" i="1"/>
  <c r="J391" i="1" s="1"/>
  <c r="I390" i="1"/>
  <c r="H390" i="1"/>
  <c r="I389" i="1"/>
  <c r="H389" i="1"/>
  <c r="I388" i="1"/>
  <c r="H388" i="1"/>
  <c r="J388" i="1" s="1"/>
  <c r="I387" i="1"/>
  <c r="H387" i="1"/>
  <c r="J387" i="1" s="1"/>
  <c r="I386" i="1"/>
  <c r="H386" i="1"/>
  <c r="I385" i="1"/>
  <c r="H385" i="1"/>
  <c r="I384" i="1"/>
  <c r="H384" i="1"/>
  <c r="J384" i="1" s="1"/>
  <c r="I383" i="1"/>
  <c r="H383" i="1"/>
  <c r="J383" i="1" s="1"/>
  <c r="I382" i="1"/>
  <c r="H382" i="1"/>
  <c r="I381" i="1"/>
  <c r="H381" i="1"/>
  <c r="I380" i="1"/>
  <c r="H380" i="1"/>
  <c r="J380" i="1" s="1"/>
  <c r="I379" i="1"/>
  <c r="H379" i="1"/>
  <c r="J379" i="1" s="1"/>
  <c r="I378" i="1"/>
  <c r="H378" i="1"/>
  <c r="I377" i="1"/>
  <c r="H377" i="1"/>
  <c r="I376" i="1"/>
  <c r="H376" i="1"/>
  <c r="J376" i="1" s="1"/>
  <c r="I375" i="1"/>
  <c r="H375" i="1"/>
  <c r="I374" i="1"/>
  <c r="H374" i="1"/>
  <c r="I373" i="1"/>
  <c r="H373" i="1"/>
  <c r="J373" i="1" s="1"/>
  <c r="I372" i="1"/>
  <c r="H372" i="1"/>
  <c r="J372" i="1" s="1"/>
  <c r="I371" i="1"/>
  <c r="H371" i="1"/>
  <c r="I370" i="1"/>
  <c r="H370" i="1"/>
  <c r="I369" i="1"/>
  <c r="H369" i="1"/>
  <c r="I368" i="1"/>
  <c r="H368" i="1"/>
  <c r="I367" i="1"/>
  <c r="H367" i="1"/>
  <c r="I366" i="1"/>
  <c r="H366" i="1"/>
  <c r="I365" i="1"/>
  <c r="H365" i="1"/>
  <c r="I364" i="1"/>
  <c r="H364" i="1"/>
  <c r="I363" i="1"/>
  <c r="H363" i="1"/>
  <c r="J363" i="1" s="1"/>
  <c r="I362" i="1"/>
  <c r="H362" i="1"/>
  <c r="I361" i="1"/>
  <c r="H361" i="1"/>
  <c r="I360" i="1"/>
  <c r="H360" i="1"/>
  <c r="I359" i="1"/>
  <c r="H359" i="1"/>
  <c r="I358" i="1"/>
  <c r="H358" i="1"/>
  <c r="I357" i="1"/>
  <c r="H357" i="1"/>
  <c r="J357" i="1" s="1"/>
  <c r="I356" i="1"/>
  <c r="H356" i="1"/>
  <c r="I355" i="1"/>
  <c r="H355" i="1"/>
  <c r="I354" i="1"/>
  <c r="H354" i="1"/>
  <c r="I353" i="1"/>
  <c r="H353" i="1"/>
  <c r="I352" i="1"/>
  <c r="H352" i="1"/>
  <c r="J352" i="1" s="1"/>
  <c r="I351" i="1"/>
  <c r="H351" i="1"/>
  <c r="J351" i="1" s="1"/>
  <c r="I350" i="1"/>
  <c r="H350" i="1"/>
  <c r="I349" i="1"/>
  <c r="H349" i="1"/>
  <c r="J349" i="1" s="1"/>
  <c r="I348" i="1"/>
  <c r="H348" i="1"/>
  <c r="I347" i="1"/>
  <c r="H347" i="1"/>
  <c r="J347" i="1" s="1"/>
  <c r="I346" i="1"/>
  <c r="H346" i="1"/>
  <c r="I345" i="1"/>
  <c r="H345" i="1"/>
  <c r="I344" i="1"/>
  <c r="H344" i="1"/>
  <c r="I343" i="1"/>
  <c r="H343" i="1"/>
  <c r="J343" i="1" s="1"/>
  <c r="I342" i="1"/>
  <c r="H342" i="1"/>
  <c r="I341" i="1"/>
  <c r="H341" i="1"/>
  <c r="J341" i="1" s="1"/>
  <c r="I340" i="1"/>
  <c r="H340" i="1"/>
  <c r="I339" i="1"/>
  <c r="H339" i="1"/>
  <c r="I338" i="1"/>
  <c r="H338" i="1"/>
  <c r="I337" i="1"/>
  <c r="H337" i="1"/>
  <c r="J337" i="1" s="1"/>
  <c r="I336" i="1"/>
  <c r="H336" i="1"/>
  <c r="J336" i="1" s="1"/>
  <c r="I335" i="1"/>
  <c r="H335" i="1"/>
  <c r="I334" i="1"/>
  <c r="H334" i="1"/>
  <c r="I333" i="1"/>
  <c r="H333" i="1"/>
  <c r="I332" i="1"/>
  <c r="H332" i="1"/>
  <c r="J332" i="1" s="1"/>
  <c r="I331" i="1"/>
  <c r="H331" i="1"/>
  <c r="I330" i="1"/>
  <c r="H330" i="1"/>
  <c r="I329" i="1"/>
  <c r="H329" i="1"/>
  <c r="I328" i="1"/>
  <c r="H328" i="1"/>
  <c r="J328" i="1" s="1"/>
  <c r="I327" i="1"/>
  <c r="H327" i="1"/>
  <c r="J327" i="1" s="1"/>
  <c r="I326" i="1"/>
  <c r="H326" i="1"/>
  <c r="I325" i="1"/>
  <c r="H325" i="1"/>
  <c r="J325" i="1" s="1"/>
  <c r="I324" i="1"/>
  <c r="H324" i="1"/>
  <c r="I323" i="1"/>
  <c r="H323" i="1"/>
  <c r="J323" i="1" s="1"/>
  <c r="I322" i="1"/>
  <c r="H322" i="1"/>
  <c r="I321" i="1"/>
  <c r="H321" i="1"/>
  <c r="J321" i="1" s="1"/>
  <c r="I320" i="1"/>
  <c r="H320" i="1"/>
  <c r="I319" i="1"/>
  <c r="H319" i="1"/>
  <c r="J319" i="1" s="1"/>
  <c r="I318" i="1"/>
  <c r="H318" i="1"/>
  <c r="I317" i="1"/>
  <c r="H317" i="1"/>
  <c r="J317" i="1" s="1"/>
  <c r="I316" i="1"/>
  <c r="H316" i="1"/>
  <c r="I315" i="1"/>
  <c r="H315" i="1"/>
  <c r="J315" i="1" s="1"/>
  <c r="I314" i="1"/>
  <c r="H314" i="1"/>
  <c r="I313" i="1"/>
  <c r="H313" i="1"/>
  <c r="I312" i="1"/>
  <c r="H312" i="1"/>
  <c r="I311" i="1"/>
  <c r="H311" i="1"/>
  <c r="I310" i="1"/>
  <c r="H310" i="1"/>
  <c r="I309" i="1"/>
  <c r="H309" i="1"/>
  <c r="J309" i="1" s="1"/>
  <c r="I308" i="1"/>
  <c r="H308" i="1"/>
  <c r="I307" i="1"/>
  <c r="H307" i="1"/>
  <c r="I306" i="1"/>
  <c r="H306" i="1"/>
  <c r="I305" i="1"/>
  <c r="H305" i="1"/>
  <c r="J305" i="1" s="1"/>
  <c r="I304" i="1"/>
  <c r="H304" i="1"/>
  <c r="I303" i="1"/>
  <c r="H303" i="1"/>
  <c r="I302" i="1"/>
  <c r="H302" i="1"/>
  <c r="I301" i="1"/>
  <c r="H301" i="1"/>
  <c r="J301" i="1" s="1"/>
  <c r="I300" i="1"/>
  <c r="H300" i="1"/>
  <c r="I299" i="1"/>
  <c r="H299" i="1"/>
  <c r="I298" i="1"/>
  <c r="H298" i="1"/>
  <c r="I297" i="1"/>
  <c r="H297" i="1"/>
  <c r="J297" i="1" s="1"/>
  <c r="I296" i="1"/>
  <c r="H296" i="1"/>
  <c r="I295" i="1"/>
  <c r="H295" i="1"/>
  <c r="J295" i="1" s="1"/>
  <c r="I294" i="1"/>
  <c r="H294" i="1"/>
  <c r="I293" i="1"/>
  <c r="H293" i="1"/>
  <c r="I292" i="1"/>
  <c r="H292" i="1"/>
  <c r="I291" i="1"/>
  <c r="H291" i="1"/>
  <c r="J291" i="1" s="1"/>
  <c r="I290" i="1"/>
  <c r="H290" i="1"/>
  <c r="I289" i="1"/>
  <c r="H289" i="1"/>
  <c r="I288" i="1"/>
  <c r="H288" i="1"/>
  <c r="I287" i="1"/>
  <c r="H287" i="1"/>
  <c r="I286" i="1"/>
  <c r="H286" i="1"/>
  <c r="I285" i="1"/>
  <c r="H285" i="1"/>
  <c r="I284" i="1"/>
  <c r="H284" i="1"/>
  <c r="I283" i="1"/>
  <c r="H283" i="1"/>
  <c r="J283" i="1" s="1"/>
  <c r="I282" i="1"/>
  <c r="H282" i="1"/>
  <c r="I281" i="1"/>
  <c r="H281" i="1"/>
  <c r="I280" i="1"/>
  <c r="H280" i="1"/>
  <c r="I279" i="1"/>
  <c r="H279" i="1"/>
  <c r="I278" i="1"/>
  <c r="H278" i="1"/>
  <c r="I277" i="1"/>
  <c r="H277" i="1"/>
  <c r="I276" i="1"/>
  <c r="H276" i="1"/>
  <c r="J276" i="1" s="1"/>
  <c r="I275" i="1"/>
  <c r="H275" i="1"/>
  <c r="J275" i="1" s="1"/>
  <c r="I274" i="1"/>
  <c r="H274" i="1"/>
  <c r="I273" i="1"/>
  <c r="H273" i="1"/>
  <c r="I272" i="1"/>
  <c r="H272" i="1"/>
  <c r="J272" i="1" s="1"/>
  <c r="I271" i="1"/>
  <c r="H271" i="1"/>
  <c r="J271" i="1" s="1"/>
  <c r="I270" i="1"/>
  <c r="H270" i="1"/>
  <c r="I269" i="1"/>
  <c r="H269" i="1"/>
  <c r="I268" i="1"/>
  <c r="H268" i="1"/>
  <c r="I267" i="1"/>
  <c r="H267" i="1"/>
  <c r="I266" i="1"/>
  <c r="H266" i="1"/>
  <c r="I265" i="1"/>
  <c r="H265" i="1"/>
  <c r="I264" i="1"/>
  <c r="H264" i="1"/>
  <c r="I263" i="1"/>
  <c r="H263" i="1"/>
  <c r="J263" i="1" s="1"/>
  <c r="I262" i="1"/>
  <c r="H262" i="1"/>
  <c r="I261" i="1"/>
  <c r="H261" i="1"/>
  <c r="J261" i="1" s="1"/>
  <c r="I260" i="1"/>
  <c r="H260" i="1"/>
  <c r="J260" i="1" s="1"/>
  <c r="I259" i="1"/>
  <c r="H259" i="1"/>
  <c r="J259" i="1" s="1"/>
  <c r="I258" i="1"/>
  <c r="H258" i="1"/>
  <c r="I257" i="1"/>
  <c r="H257" i="1"/>
  <c r="J257" i="1" s="1"/>
  <c r="I256" i="1"/>
  <c r="H256" i="1"/>
  <c r="J256" i="1" s="1"/>
  <c r="I255" i="1"/>
  <c r="H255" i="1"/>
  <c r="J255" i="1" s="1"/>
  <c r="I254" i="1"/>
  <c r="H254" i="1"/>
  <c r="I253" i="1"/>
  <c r="H253" i="1"/>
  <c r="J253" i="1" s="1"/>
  <c r="I252" i="1"/>
  <c r="H252" i="1"/>
  <c r="J252" i="1" s="1"/>
  <c r="I251" i="1"/>
  <c r="H251" i="1"/>
  <c r="J251" i="1" s="1"/>
  <c r="I250" i="1"/>
  <c r="H250" i="1"/>
  <c r="I249" i="1"/>
  <c r="H249" i="1"/>
  <c r="J249" i="1" s="1"/>
  <c r="I248" i="1"/>
  <c r="H248" i="1"/>
  <c r="J248" i="1" s="1"/>
  <c r="I247" i="1"/>
  <c r="H247" i="1"/>
  <c r="I246" i="1"/>
  <c r="H246" i="1"/>
  <c r="I245" i="1"/>
  <c r="H245" i="1"/>
  <c r="J245" i="1" s="1"/>
  <c r="I244" i="1"/>
  <c r="H244" i="1"/>
  <c r="J244" i="1" s="1"/>
  <c r="I243" i="1"/>
  <c r="H243" i="1"/>
  <c r="I242" i="1"/>
  <c r="H242" i="1"/>
  <c r="I241" i="1"/>
  <c r="H241" i="1"/>
  <c r="I240" i="1"/>
  <c r="H240" i="1"/>
  <c r="J240" i="1" s="1"/>
  <c r="I239" i="1"/>
  <c r="H239" i="1"/>
  <c r="I238" i="1"/>
  <c r="H238" i="1"/>
  <c r="I237" i="1"/>
  <c r="H237" i="1"/>
  <c r="I236" i="1"/>
  <c r="H236" i="1"/>
  <c r="J236" i="1" s="1"/>
  <c r="I235" i="1"/>
  <c r="H235" i="1"/>
  <c r="J235" i="1" s="1"/>
  <c r="I234" i="1"/>
  <c r="H234" i="1"/>
  <c r="I233" i="1"/>
  <c r="H233" i="1"/>
  <c r="I232" i="1"/>
  <c r="H232" i="1"/>
  <c r="J232" i="1" s="1"/>
  <c r="I231" i="1"/>
  <c r="H231" i="1"/>
  <c r="J231" i="1" s="1"/>
  <c r="I230" i="1"/>
  <c r="H230" i="1"/>
  <c r="I229" i="1"/>
  <c r="H229" i="1"/>
  <c r="J229" i="1" s="1"/>
  <c r="I228" i="1"/>
  <c r="H228" i="1"/>
  <c r="I227" i="1"/>
  <c r="H227" i="1"/>
  <c r="J227" i="1" s="1"/>
  <c r="I226" i="1"/>
  <c r="H226" i="1"/>
  <c r="I225" i="1"/>
  <c r="H225" i="1"/>
  <c r="J225" i="1" s="1"/>
  <c r="I224" i="1"/>
  <c r="H224" i="1"/>
  <c r="I223" i="1"/>
  <c r="H223" i="1"/>
  <c r="J223" i="1" s="1"/>
  <c r="I222" i="1"/>
  <c r="H222" i="1"/>
  <c r="I221" i="1"/>
  <c r="H221" i="1"/>
  <c r="J221" i="1" s="1"/>
  <c r="I220" i="1"/>
  <c r="H220" i="1"/>
  <c r="I219" i="1"/>
  <c r="H219" i="1"/>
  <c r="I218" i="1"/>
  <c r="H218" i="1"/>
  <c r="I217" i="1"/>
  <c r="H217" i="1"/>
  <c r="I216" i="1"/>
  <c r="H216" i="1"/>
  <c r="J216" i="1" s="1"/>
  <c r="I215" i="1"/>
  <c r="H215" i="1"/>
  <c r="J215" i="1" s="1"/>
  <c r="I214" i="1"/>
  <c r="H214" i="1"/>
  <c r="I213" i="1"/>
  <c r="H213" i="1"/>
  <c r="I212" i="1"/>
  <c r="H212" i="1"/>
  <c r="J212" i="1" s="1"/>
  <c r="I211" i="1"/>
  <c r="H211" i="1"/>
  <c r="I210" i="1"/>
  <c r="H210" i="1"/>
  <c r="I209" i="1"/>
  <c r="H209" i="1"/>
  <c r="I208" i="1"/>
  <c r="H208" i="1"/>
  <c r="J208" i="1" s="1"/>
  <c r="I207" i="1"/>
  <c r="H207" i="1"/>
  <c r="J207" i="1" s="1"/>
  <c r="I206" i="1"/>
  <c r="H206" i="1"/>
  <c r="I205" i="1"/>
  <c r="H205" i="1"/>
  <c r="I204" i="1"/>
  <c r="H204" i="1"/>
  <c r="J204" i="1" s="1"/>
  <c r="I203" i="1"/>
  <c r="H203" i="1"/>
  <c r="J203" i="1" s="1"/>
  <c r="I202" i="1"/>
  <c r="H202" i="1"/>
  <c r="I201" i="1"/>
  <c r="H201" i="1"/>
  <c r="J201" i="1" s="1"/>
  <c r="I200" i="1"/>
  <c r="H200" i="1"/>
  <c r="I199" i="1"/>
  <c r="H199" i="1"/>
  <c r="I198" i="1"/>
  <c r="H198" i="1"/>
  <c r="I197" i="1"/>
  <c r="H197" i="1"/>
  <c r="J197" i="1" s="1"/>
  <c r="I196" i="1"/>
  <c r="H196" i="1"/>
  <c r="J196" i="1" s="1"/>
  <c r="I195" i="1"/>
  <c r="H195" i="1"/>
  <c r="I194" i="1"/>
  <c r="H194" i="1"/>
  <c r="I193" i="1"/>
  <c r="H193" i="1"/>
  <c r="I192" i="1"/>
  <c r="H192" i="1"/>
  <c r="I191" i="1"/>
  <c r="H191" i="1"/>
  <c r="I190" i="1"/>
  <c r="H190" i="1"/>
  <c r="I189" i="1"/>
  <c r="H189" i="1"/>
  <c r="J189" i="1" s="1"/>
  <c r="I188" i="1"/>
  <c r="H188" i="1"/>
  <c r="J188" i="1" s="1"/>
  <c r="I187" i="1"/>
  <c r="H187" i="1"/>
  <c r="I186" i="1"/>
  <c r="H186" i="1"/>
  <c r="I185" i="1"/>
  <c r="H185" i="1"/>
  <c r="J185" i="1" s="1"/>
  <c r="I184" i="1"/>
  <c r="H184" i="1"/>
  <c r="J184" i="1" s="1"/>
  <c r="I183" i="1"/>
  <c r="H183" i="1"/>
  <c r="J183" i="1" s="1"/>
  <c r="I182" i="1"/>
  <c r="H182" i="1"/>
  <c r="I181" i="1"/>
  <c r="H181" i="1"/>
  <c r="I180" i="1"/>
  <c r="H180" i="1"/>
  <c r="I179" i="1"/>
  <c r="H179" i="1"/>
  <c r="J179" i="1" s="1"/>
  <c r="I178" i="1"/>
  <c r="H178" i="1"/>
  <c r="I177" i="1"/>
  <c r="H177" i="1"/>
  <c r="I176" i="1"/>
  <c r="H176" i="1"/>
  <c r="I175" i="1"/>
  <c r="H175" i="1"/>
  <c r="J175" i="1" s="1"/>
  <c r="I174" i="1"/>
  <c r="H174" i="1"/>
  <c r="I173" i="1"/>
  <c r="H173" i="1"/>
  <c r="J173" i="1" s="1"/>
  <c r="I172" i="1"/>
  <c r="H172" i="1"/>
  <c r="I171" i="1"/>
  <c r="H171" i="1"/>
  <c r="J171" i="1" s="1"/>
  <c r="I170" i="1"/>
  <c r="H170" i="1"/>
  <c r="I169" i="1"/>
  <c r="H169" i="1"/>
  <c r="J169" i="1" s="1"/>
  <c r="I168" i="1"/>
  <c r="H168" i="1"/>
  <c r="I167" i="1"/>
  <c r="H167" i="1"/>
  <c r="J167" i="1" s="1"/>
  <c r="I166" i="1"/>
  <c r="H166" i="1"/>
  <c r="I165" i="1"/>
  <c r="H165" i="1"/>
  <c r="I164" i="1"/>
  <c r="H164" i="1"/>
  <c r="I163" i="1"/>
  <c r="H163" i="1"/>
  <c r="J163" i="1" s="1"/>
  <c r="I162" i="1"/>
  <c r="H162" i="1"/>
  <c r="I161" i="1"/>
  <c r="H161" i="1"/>
  <c r="I160" i="1"/>
  <c r="H160" i="1"/>
  <c r="I159" i="1"/>
  <c r="H159" i="1"/>
  <c r="J159" i="1" s="1"/>
  <c r="I158" i="1"/>
  <c r="H158" i="1"/>
  <c r="I157" i="1"/>
  <c r="H157" i="1"/>
  <c r="J157" i="1" s="1"/>
  <c r="I156" i="1"/>
  <c r="H156" i="1"/>
  <c r="I155" i="1"/>
  <c r="H155" i="1"/>
  <c r="J155" i="1" s="1"/>
  <c r="I154" i="1"/>
  <c r="H154" i="1"/>
  <c r="I153" i="1"/>
  <c r="H153" i="1"/>
  <c r="J153" i="1" s="1"/>
  <c r="I152" i="1"/>
  <c r="H152" i="1"/>
  <c r="I151" i="1"/>
  <c r="H151" i="1"/>
  <c r="J151" i="1" s="1"/>
  <c r="I150" i="1"/>
  <c r="H150" i="1"/>
  <c r="I149" i="1"/>
  <c r="H149" i="1"/>
  <c r="J149" i="1" s="1"/>
  <c r="I148" i="1"/>
  <c r="H148" i="1"/>
  <c r="I147" i="1"/>
  <c r="H147" i="1"/>
  <c r="J147" i="1" s="1"/>
  <c r="I146" i="1"/>
  <c r="H146" i="1"/>
  <c r="I145" i="1"/>
  <c r="H145" i="1"/>
  <c r="I144" i="1"/>
  <c r="H144" i="1"/>
  <c r="I143" i="1"/>
  <c r="H143" i="1"/>
  <c r="J143" i="1" s="1"/>
  <c r="I142" i="1"/>
  <c r="H142" i="1"/>
  <c r="I141" i="1"/>
  <c r="H141" i="1"/>
  <c r="J141" i="1" s="1"/>
  <c r="I140" i="1"/>
  <c r="H140" i="1"/>
  <c r="I139" i="1"/>
  <c r="H139" i="1"/>
  <c r="J139" i="1" s="1"/>
  <c r="I138" i="1"/>
  <c r="H138" i="1"/>
  <c r="I137" i="1"/>
  <c r="H137" i="1"/>
  <c r="J137" i="1" s="1"/>
  <c r="I136" i="1"/>
  <c r="H136" i="1"/>
  <c r="I135" i="1"/>
  <c r="H135" i="1"/>
  <c r="J135" i="1" s="1"/>
  <c r="I134" i="1"/>
  <c r="H134" i="1"/>
  <c r="I133" i="1"/>
  <c r="H133" i="1"/>
  <c r="J133" i="1" s="1"/>
  <c r="I132" i="1"/>
  <c r="H132" i="1"/>
  <c r="I131" i="1"/>
  <c r="H131" i="1"/>
  <c r="I130" i="1"/>
  <c r="H130" i="1"/>
  <c r="I129" i="1"/>
  <c r="H129" i="1"/>
  <c r="J129" i="1" s="1"/>
  <c r="I128" i="1"/>
  <c r="H128" i="1"/>
  <c r="I127" i="1"/>
  <c r="H127" i="1"/>
  <c r="I126" i="1"/>
  <c r="H126" i="1"/>
  <c r="I125" i="1"/>
  <c r="H125" i="1"/>
  <c r="J125" i="1" s="1"/>
  <c r="I124" i="1"/>
  <c r="H124" i="1"/>
  <c r="I123" i="1"/>
  <c r="H123" i="1"/>
  <c r="I122" i="1"/>
  <c r="H122" i="1"/>
  <c r="I121" i="1"/>
  <c r="H121" i="1"/>
  <c r="J121" i="1" s="1"/>
  <c r="I120" i="1"/>
  <c r="H120" i="1"/>
  <c r="I119" i="1"/>
  <c r="H119" i="1"/>
  <c r="J119" i="1" s="1"/>
  <c r="I118" i="1"/>
  <c r="H118" i="1"/>
  <c r="I117" i="1"/>
  <c r="H117" i="1"/>
  <c r="J117" i="1" s="1"/>
  <c r="I116" i="1"/>
  <c r="H116" i="1"/>
  <c r="I115" i="1"/>
  <c r="H115" i="1"/>
  <c r="J115" i="1" s="1"/>
  <c r="I114" i="1"/>
  <c r="H114" i="1"/>
  <c r="I113" i="1"/>
  <c r="H113" i="1"/>
  <c r="J113" i="1" s="1"/>
  <c r="I112" i="1"/>
  <c r="H112" i="1"/>
  <c r="I111" i="1"/>
  <c r="H111" i="1"/>
  <c r="I110" i="1"/>
  <c r="H110" i="1"/>
  <c r="I109" i="1"/>
  <c r="H109" i="1"/>
  <c r="J109" i="1" s="1"/>
  <c r="I108" i="1"/>
  <c r="H108" i="1"/>
  <c r="I107" i="1"/>
  <c r="H107" i="1"/>
  <c r="I106" i="1"/>
  <c r="H106" i="1"/>
  <c r="I105" i="1"/>
  <c r="H105" i="1"/>
  <c r="J105" i="1" s="1"/>
  <c r="I104" i="1"/>
  <c r="H104" i="1"/>
  <c r="I103" i="1"/>
  <c r="H103" i="1"/>
  <c r="J103" i="1" s="1"/>
  <c r="I102" i="1"/>
  <c r="H102" i="1"/>
  <c r="I101" i="1"/>
  <c r="H101" i="1"/>
  <c r="I100" i="1"/>
  <c r="H100" i="1"/>
  <c r="I99" i="1"/>
  <c r="H99" i="1"/>
  <c r="J99" i="1" s="1"/>
  <c r="I98" i="1"/>
  <c r="H98" i="1"/>
  <c r="I97" i="1"/>
  <c r="H97" i="1"/>
  <c r="J97" i="1" s="1"/>
  <c r="I96" i="1"/>
  <c r="H96" i="1"/>
  <c r="I95" i="1"/>
  <c r="H95" i="1"/>
  <c r="J95" i="1" s="1"/>
  <c r="I94" i="1"/>
  <c r="H94" i="1"/>
  <c r="I93" i="1"/>
  <c r="H93" i="1"/>
  <c r="J93" i="1" s="1"/>
  <c r="I92" i="1"/>
  <c r="H92" i="1"/>
  <c r="I91" i="1"/>
  <c r="H91" i="1"/>
  <c r="J91" i="1" s="1"/>
  <c r="I90" i="1"/>
  <c r="H90" i="1"/>
  <c r="I89" i="1"/>
  <c r="H89" i="1"/>
  <c r="I88" i="1"/>
  <c r="H88" i="1"/>
  <c r="J88" i="1" s="1"/>
  <c r="I87" i="1"/>
  <c r="H87" i="1"/>
  <c r="J87" i="1" s="1"/>
  <c r="I86" i="1"/>
  <c r="H86" i="1"/>
  <c r="I85" i="1"/>
  <c r="H85" i="1"/>
  <c r="I84" i="1"/>
  <c r="H84" i="1"/>
  <c r="I83" i="1"/>
  <c r="H83" i="1"/>
  <c r="I82" i="1"/>
  <c r="H82" i="1"/>
  <c r="I81" i="1"/>
  <c r="H81" i="1"/>
  <c r="I80" i="1"/>
  <c r="H80" i="1"/>
  <c r="J80" i="1" s="1"/>
  <c r="I79" i="1"/>
  <c r="H79" i="1"/>
  <c r="J79" i="1" s="1"/>
  <c r="I78" i="1"/>
  <c r="H78" i="1"/>
  <c r="I77" i="1"/>
  <c r="H77" i="1"/>
  <c r="I76" i="1"/>
  <c r="H76" i="1"/>
  <c r="J76" i="1" s="1"/>
  <c r="I75" i="1"/>
  <c r="H75" i="1"/>
  <c r="J75" i="1" s="1"/>
  <c r="I74" i="1"/>
  <c r="H74" i="1"/>
  <c r="I73" i="1"/>
  <c r="H73" i="1"/>
  <c r="I72" i="1"/>
  <c r="H72" i="1"/>
  <c r="I71" i="1"/>
  <c r="H71" i="1"/>
  <c r="J71" i="1" s="1"/>
  <c r="I70" i="1"/>
  <c r="H70" i="1"/>
  <c r="I69" i="1"/>
  <c r="H69" i="1"/>
  <c r="J69" i="1" s="1"/>
  <c r="I68" i="1"/>
  <c r="H68" i="1"/>
  <c r="J68" i="1" s="1"/>
  <c r="I67" i="1"/>
  <c r="H67" i="1"/>
  <c r="J67" i="1" s="1"/>
  <c r="I66" i="1"/>
  <c r="H66" i="1"/>
  <c r="I65" i="1"/>
  <c r="H65" i="1"/>
  <c r="J65" i="1" s="1"/>
  <c r="I64" i="1"/>
  <c r="H64" i="1"/>
  <c r="I63" i="1"/>
  <c r="H63" i="1"/>
  <c r="J63" i="1" s="1"/>
  <c r="I62" i="1"/>
  <c r="H62" i="1"/>
  <c r="I61" i="1"/>
  <c r="H61" i="1"/>
  <c r="J61" i="1" s="1"/>
  <c r="I60" i="1"/>
  <c r="H60" i="1"/>
  <c r="J60" i="1" s="1"/>
  <c r="I59" i="1"/>
  <c r="H59" i="1"/>
  <c r="I58" i="1"/>
  <c r="H58" i="1"/>
  <c r="I57" i="1"/>
  <c r="H57" i="1"/>
  <c r="J57" i="1" s="1"/>
  <c r="I56" i="1"/>
  <c r="H56" i="1"/>
  <c r="J56" i="1" s="1"/>
  <c r="I55" i="1"/>
  <c r="H55" i="1"/>
  <c r="J55" i="1" s="1"/>
  <c r="I54" i="1"/>
  <c r="H54" i="1"/>
  <c r="I53" i="1"/>
  <c r="H53" i="1"/>
  <c r="I52" i="1"/>
  <c r="H52" i="1"/>
  <c r="J52" i="1" s="1"/>
  <c r="I51" i="1"/>
  <c r="H51" i="1"/>
  <c r="J51" i="1" s="1"/>
  <c r="I50" i="1"/>
  <c r="H50" i="1"/>
  <c r="I49" i="1"/>
  <c r="H49" i="1"/>
  <c r="I48" i="1"/>
  <c r="H48" i="1"/>
  <c r="J48" i="1" s="1"/>
  <c r="I47" i="1"/>
  <c r="H47" i="1"/>
  <c r="J47" i="1" s="1"/>
  <c r="I46" i="1"/>
  <c r="H46" i="1"/>
  <c r="I45" i="1"/>
  <c r="H45" i="1"/>
  <c r="I44" i="1"/>
  <c r="H44" i="1"/>
  <c r="J44" i="1" s="1"/>
  <c r="I43" i="1"/>
  <c r="H43" i="1"/>
  <c r="J43" i="1" s="1"/>
  <c r="I42" i="1"/>
  <c r="H42" i="1"/>
  <c r="I41" i="1"/>
  <c r="H41" i="1"/>
  <c r="I40" i="1"/>
  <c r="H40" i="1"/>
  <c r="J40" i="1" s="1"/>
  <c r="I39" i="1"/>
  <c r="H39" i="1"/>
  <c r="J39" i="1" s="1"/>
  <c r="I38" i="1"/>
  <c r="H38" i="1"/>
  <c r="I37" i="1"/>
  <c r="H37" i="1"/>
  <c r="I36" i="1"/>
  <c r="H36" i="1"/>
  <c r="I35" i="1"/>
  <c r="H35" i="1"/>
  <c r="I34" i="1"/>
  <c r="H34" i="1"/>
  <c r="I33" i="1"/>
  <c r="H33" i="1"/>
  <c r="J33" i="1" s="1"/>
  <c r="I32" i="1"/>
  <c r="H32" i="1"/>
  <c r="I31" i="1"/>
  <c r="H31" i="1"/>
  <c r="J31" i="1" s="1"/>
  <c r="I30" i="1"/>
  <c r="H30" i="1"/>
  <c r="I29" i="1"/>
  <c r="H29" i="1"/>
  <c r="J29" i="1" s="1"/>
  <c r="I28" i="1"/>
  <c r="H28" i="1"/>
  <c r="I27" i="1"/>
  <c r="H27" i="1"/>
  <c r="J27" i="1" s="1"/>
  <c r="I26" i="1"/>
  <c r="H26" i="1"/>
  <c r="I25" i="1"/>
  <c r="H25" i="1"/>
  <c r="J25" i="1" s="1"/>
  <c r="I24" i="1"/>
  <c r="H24" i="1"/>
  <c r="I23" i="1"/>
  <c r="H23" i="1"/>
  <c r="J23" i="1" s="1"/>
  <c r="I22" i="1"/>
  <c r="H22" i="1"/>
  <c r="I21" i="1"/>
  <c r="H21" i="1"/>
  <c r="J21" i="1" s="1"/>
  <c r="I20" i="1"/>
  <c r="H20" i="1"/>
  <c r="J20" i="1" s="1"/>
  <c r="I19" i="1"/>
  <c r="H19" i="1"/>
  <c r="J19" i="1" s="1"/>
  <c r="I18" i="1"/>
  <c r="H18" i="1"/>
  <c r="I17" i="1"/>
  <c r="H17" i="1"/>
  <c r="I16" i="1"/>
  <c r="H16" i="1"/>
  <c r="J16" i="1" s="1"/>
  <c r="I15" i="1"/>
  <c r="H15" i="1"/>
  <c r="J15" i="1" s="1"/>
  <c r="I14" i="1"/>
  <c r="H14" i="1"/>
  <c r="I13" i="1"/>
  <c r="H13" i="1"/>
  <c r="I12" i="1"/>
  <c r="H12" i="1"/>
  <c r="J12" i="1" s="1"/>
  <c r="I11" i="1"/>
  <c r="H11" i="1"/>
  <c r="I10" i="1"/>
  <c r="H10" i="1"/>
  <c r="J22" i="1" l="1"/>
  <c r="J50" i="1"/>
  <c r="J54" i="1"/>
  <c r="J158" i="1"/>
  <c r="J162" i="1"/>
  <c r="J194" i="1"/>
  <c r="J198" i="1"/>
  <c r="J210" i="1"/>
  <c r="J214" i="1"/>
  <c r="J374" i="1"/>
  <c r="J386" i="1"/>
  <c r="J398" i="1"/>
  <c r="J406" i="1"/>
  <c r="J658" i="1"/>
  <c r="J674" i="1"/>
  <c r="J678" i="1"/>
  <c r="J694" i="1"/>
  <c r="J729" i="1"/>
  <c r="J601" i="1"/>
  <c r="J637" i="1"/>
  <c r="J10" i="1"/>
  <c r="J14" i="1"/>
  <c r="J58" i="1"/>
  <c r="J74" i="1"/>
  <c r="J78" i="1"/>
  <c r="J98" i="1"/>
  <c r="J106" i="1"/>
  <c r="J110" i="1"/>
  <c r="J114" i="1"/>
  <c r="J122" i="1"/>
  <c r="J126" i="1"/>
  <c r="J186" i="1"/>
  <c r="J190" i="1"/>
  <c r="J266" i="1"/>
  <c r="J270" i="1"/>
  <c r="J282" i="1"/>
  <c r="J286" i="1"/>
  <c r="J302" i="1"/>
  <c r="J314" i="1"/>
  <c r="J346" i="1"/>
  <c r="J350" i="1"/>
  <c r="J354" i="1"/>
  <c r="J362" i="1"/>
  <c r="J366" i="1"/>
  <c r="J370" i="1"/>
  <c r="J378" i="1"/>
  <c r="J442" i="1"/>
  <c r="J446" i="1"/>
  <c r="J629" i="1"/>
  <c r="J633" i="1"/>
  <c r="J645" i="1"/>
  <c r="J657" i="1"/>
  <c r="J661" i="1"/>
  <c r="J673" i="1"/>
  <c r="J677" i="1"/>
  <c r="J681" i="1"/>
  <c r="J697" i="1"/>
  <c r="J725" i="1"/>
  <c r="J451" i="1"/>
  <c r="J455" i="1"/>
  <c r="J482" i="1"/>
  <c r="J486" i="1"/>
  <c r="J514" i="1"/>
  <c r="J530" i="1"/>
  <c r="J542" i="1"/>
  <c r="J546" i="1"/>
  <c r="J550" i="1"/>
  <c r="J562" i="1"/>
  <c r="J566" i="1"/>
  <c r="J199" i="1"/>
  <c r="J359" i="1"/>
  <c r="J375" i="1"/>
  <c r="J710" i="1"/>
  <c r="J495" i="1"/>
  <c r="J503" i="1"/>
  <c r="J164" i="1"/>
  <c r="J264" i="1"/>
  <c r="J472" i="1"/>
  <c r="J488" i="1"/>
  <c r="J492" i="1"/>
  <c r="J496" i="1"/>
  <c r="J504" i="1"/>
  <c r="J508" i="1"/>
  <c r="J512" i="1"/>
  <c r="J516" i="1"/>
  <c r="J528" i="1"/>
  <c r="J532" i="1"/>
  <c r="J552" i="1"/>
  <c r="J556" i="1"/>
  <c r="J560" i="1"/>
  <c r="J564" i="1"/>
  <c r="J576" i="1"/>
  <c r="J580" i="1"/>
  <c r="J584" i="1"/>
  <c r="J588" i="1"/>
  <c r="J596" i="1"/>
  <c r="J620" i="1"/>
  <c r="J624" i="1"/>
  <c r="J631" i="1"/>
  <c r="J732" i="1"/>
  <c r="J73" i="1"/>
  <c r="J205" i="1"/>
  <c r="J445" i="1"/>
  <c r="J477" i="1"/>
  <c r="J489" i="1"/>
  <c r="J493" i="1"/>
  <c r="J497" i="1"/>
  <c r="J501" i="1"/>
  <c r="J505" i="1"/>
  <c r="J509" i="1"/>
  <c r="J513" i="1"/>
  <c r="J517" i="1"/>
  <c r="J521" i="1"/>
  <c r="J533" i="1"/>
  <c r="J553" i="1"/>
  <c r="J557" i="1"/>
  <c r="J561" i="1"/>
  <c r="J565" i="1"/>
  <c r="J573" i="1"/>
  <c r="J585" i="1"/>
  <c r="J589" i="1"/>
  <c r="J613" i="1"/>
  <c r="J617" i="1"/>
  <c r="J77" i="1"/>
  <c r="J262" i="1"/>
  <c r="J434" i="1"/>
  <c r="J582" i="1"/>
  <c r="J520" i="1"/>
  <c r="J82" i="1"/>
  <c r="J86" i="1"/>
  <c r="J142" i="1"/>
  <c r="J239" i="1"/>
  <c r="J247" i="1"/>
  <c r="J290" i="1"/>
  <c r="J294" i="1"/>
  <c r="J329" i="1"/>
  <c r="J450" i="1"/>
  <c r="J461" i="1"/>
  <c r="J548" i="1"/>
  <c r="J583" i="1"/>
  <c r="J610" i="1"/>
  <c r="J614" i="1"/>
  <c r="J621" i="1"/>
  <c r="J66" i="1"/>
  <c r="J36" i="1"/>
  <c r="J178" i="1"/>
  <c r="J182" i="1"/>
  <c r="J279" i="1"/>
  <c r="J322" i="1"/>
  <c r="J392" i="1"/>
  <c r="J454" i="1"/>
  <c r="J622" i="1"/>
  <c r="J676" i="1"/>
  <c r="J242" i="1"/>
  <c r="J578" i="1"/>
  <c r="J726" i="1"/>
  <c r="J338" i="1"/>
  <c r="J342" i="1"/>
  <c r="J401" i="1"/>
  <c r="J424" i="1"/>
  <c r="J466" i="1"/>
  <c r="J470" i="1"/>
  <c r="J705" i="1"/>
  <c r="J258" i="1"/>
  <c r="J438" i="1"/>
  <c r="J598" i="1"/>
  <c r="J278" i="1"/>
  <c r="J647" i="1"/>
  <c r="J100" i="1"/>
  <c r="J111" i="1"/>
  <c r="J280" i="1"/>
  <c r="J288" i="1"/>
  <c r="J311" i="1"/>
  <c r="J459" i="1"/>
  <c r="J518" i="1"/>
  <c r="J630" i="1"/>
  <c r="J649" i="1"/>
  <c r="J665" i="1"/>
  <c r="J685" i="1"/>
  <c r="J701" i="1"/>
  <c r="J713" i="1"/>
  <c r="J70" i="1"/>
  <c r="J324" i="1"/>
  <c r="J605" i="1"/>
  <c r="J26" i="1"/>
  <c r="J104" i="1"/>
  <c r="J108" i="1"/>
  <c r="J120" i="1"/>
  <c r="J124" i="1"/>
  <c r="J128" i="1"/>
  <c r="J132" i="1"/>
  <c r="J136" i="1"/>
  <c r="J140" i="1"/>
  <c r="J144" i="1"/>
  <c r="J148" i="1"/>
  <c r="J168" i="1"/>
  <c r="J172" i="1"/>
  <c r="J176" i="1"/>
  <c r="J191" i="1"/>
  <c r="J195" i="1"/>
  <c r="J202" i="1"/>
  <c r="J206" i="1"/>
  <c r="J265" i="1"/>
  <c r="J269" i="1"/>
  <c r="J277" i="1"/>
  <c r="J281" i="1"/>
  <c r="J285" i="1"/>
  <c r="J296" i="1"/>
  <c r="J300" i="1"/>
  <c r="J304" i="1"/>
  <c r="J308" i="1"/>
  <c r="J320" i="1"/>
  <c r="J339" i="1"/>
  <c r="J371" i="1"/>
  <c r="J390" i="1"/>
  <c r="J441" i="1"/>
  <c r="J452" i="1"/>
  <c r="J479" i="1"/>
  <c r="J483" i="1"/>
  <c r="J487" i="1"/>
  <c r="J519" i="1"/>
  <c r="J523" i="1"/>
  <c r="J570" i="1"/>
  <c r="J642" i="1"/>
  <c r="J666" i="1"/>
  <c r="J682" i="1"/>
  <c r="J686" i="1"/>
  <c r="J698" i="1"/>
  <c r="J702" i="1"/>
  <c r="J717" i="1"/>
  <c r="J37" i="1"/>
  <c r="J89" i="1"/>
  <c r="J112" i="1"/>
  <c r="J130" i="1"/>
  <c r="J134" i="1"/>
  <c r="J220" i="1"/>
  <c r="J246" i="1"/>
  <c r="J306" i="1"/>
  <c r="J310" i="1"/>
  <c r="J340" i="1"/>
  <c r="J358" i="1"/>
  <c r="J396" i="1"/>
  <c r="J414" i="1"/>
  <c r="J418" i="1"/>
  <c r="J422" i="1"/>
  <c r="J463" i="1"/>
  <c r="J534" i="1"/>
  <c r="J538" i="1"/>
  <c r="J569" i="1"/>
  <c r="J646" i="1"/>
  <c r="J653" i="1"/>
  <c r="J672" i="1"/>
  <c r="J690" i="1"/>
  <c r="J730" i="1"/>
  <c r="J11" i="1"/>
  <c r="J18" i="1"/>
  <c r="J41" i="1"/>
  <c r="J45" i="1"/>
  <c r="J49" i="1"/>
  <c r="J53" i="1"/>
  <c r="J64" i="1"/>
  <c r="J90" i="1"/>
  <c r="J94" i="1"/>
  <c r="J101" i="1"/>
  <c r="J116" i="1"/>
  <c r="J123" i="1"/>
  <c r="J127" i="1"/>
  <c r="J131" i="1"/>
  <c r="J138" i="1"/>
  <c r="J145" i="1"/>
  <c r="J152" i="1"/>
  <c r="J156" i="1"/>
  <c r="J160" i="1"/>
  <c r="J187" i="1"/>
  <c r="J209" i="1"/>
  <c r="J213" i="1"/>
  <c r="J224" i="1"/>
  <c r="J228" i="1"/>
  <c r="J243" i="1"/>
  <c r="J250" i="1"/>
  <c r="J254" i="1"/>
  <c r="J273" i="1"/>
  <c r="J284" i="1"/>
  <c r="J299" i="1"/>
  <c r="J303" i="1"/>
  <c r="J307" i="1"/>
  <c r="J318" i="1"/>
  <c r="J344" i="1"/>
  <c r="J348" i="1"/>
  <c r="J355" i="1"/>
  <c r="J377" i="1"/>
  <c r="J385" i="1"/>
  <c r="J389" i="1"/>
  <c r="J400" i="1"/>
  <c r="J411" i="1"/>
  <c r="J415" i="1"/>
  <c r="J419" i="1"/>
  <c r="J430" i="1"/>
  <c r="J449" i="1"/>
  <c r="J456" i="1"/>
  <c r="J475" i="1"/>
  <c r="J490" i="1"/>
  <c r="J494" i="1"/>
  <c r="J524" i="1"/>
  <c r="J558" i="1"/>
  <c r="J577" i="1"/>
  <c r="J581" i="1"/>
  <c r="J592" i="1"/>
  <c r="J625" i="1"/>
  <c r="J632" i="1"/>
  <c r="J650" i="1"/>
  <c r="J654" i="1"/>
  <c r="J683" i="1"/>
  <c r="J687" i="1"/>
  <c r="J709" i="1"/>
  <c r="J716" i="1"/>
  <c r="J720" i="1"/>
  <c r="J30" i="1"/>
  <c r="J34" i="1"/>
  <c r="J38" i="1"/>
  <c r="J46" i="1"/>
  <c r="J72" i="1"/>
  <c r="J83" i="1"/>
  <c r="J161" i="1"/>
  <c r="J165" i="1"/>
  <c r="J180" i="1"/>
  <c r="J217" i="1"/>
  <c r="J292" i="1"/>
  <c r="J326" i="1"/>
  <c r="J333" i="1"/>
  <c r="J356" i="1"/>
  <c r="J367" i="1"/>
  <c r="J382" i="1"/>
  <c r="J476" i="1"/>
  <c r="J491" i="1"/>
  <c r="J502" i="1"/>
  <c r="J525" i="1"/>
  <c r="J563" i="1"/>
  <c r="J574" i="1"/>
  <c r="J593" i="1"/>
  <c r="J600" i="1"/>
  <c r="J662" i="1"/>
  <c r="J669" i="1"/>
  <c r="J706" i="1"/>
  <c r="J721" i="1"/>
  <c r="J728" i="1"/>
  <c r="J35" i="1"/>
  <c r="J84" i="1"/>
  <c r="J102" i="1"/>
  <c r="J146" i="1"/>
  <c r="J177" i="1"/>
  <c r="J181" i="1"/>
  <c r="J192" i="1"/>
  <c r="J218" i="1"/>
  <c r="J222" i="1"/>
  <c r="J233" i="1"/>
  <c r="J237" i="1"/>
  <c r="J241" i="1"/>
  <c r="J267" i="1"/>
  <c r="J274" i="1"/>
  <c r="J289" i="1"/>
  <c r="J293" i="1"/>
  <c r="J312" i="1"/>
  <c r="J316" i="1"/>
  <c r="J330" i="1"/>
  <c r="J334" i="1"/>
  <c r="J345" i="1"/>
  <c r="J353" i="1"/>
  <c r="J360" i="1"/>
  <c r="J364" i="1"/>
  <c r="J368" i="1"/>
  <c r="J394" i="1"/>
  <c r="J405" i="1"/>
  <c r="J420" i="1"/>
  <c r="J443" i="1"/>
  <c r="J465" i="1"/>
  <c r="J469" i="1"/>
  <c r="J480" i="1"/>
  <c r="J484" i="1"/>
  <c r="J499" i="1"/>
  <c r="J506" i="1"/>
  <c r="J510" i="1"/>
  <c r="J529" i="1"/>
  <c r="J536" i="1"/>
  <c r="J540" i="1"/>
  <c r="J544" i="1"/>
  <c r="J571" i="1"/>
  <c r="J586" i="1"/>
  <c r="J597" i="1"/>
  <c r="J604" i="1"/>
  <c r="J608" i="1"/>
  <c r="J626" i="1"/>
  <c r="J641" i="1"/>
  <c r="J648" i="1"/>
  <c r="J670" i="1"/>
  <c r="J13" i="1"/>
  <c r="J62" i="1"/>
  <c r="J92" i="1"/>
  <c r="J150" i="1"/>
  <c r="J689" i="1"/>
  <c r="J696" i="1"/>
  <c r="J718" i="1"/>
  <c r="J17" i="1"/>
  <c r="J24" i="1"/>
  <c r="J28" i="1"/>
  <c r="J32" i="1"/>
  <c r="J59" i="1"/>
  <c r="J81" i="1"/>
  <c r="J85" i="1"/>
  <c r="J96" i="1"/>
  <c r="J107" i="1"/>
  <c r="J118" i="1"/>
  <c r="J166" i="1"/>
  <c r="J174" i="1"/>
  <c r="J193" i="1"/>
  <c r="J200" i="1"/>
  <c r="J211" i="1"/>
  <c r="J219" i="1"/>
  <c r="J226" i="1"/>
  <c r="J230" i="1"/>
  <c r="J234" i="1"/>
  <c r="J238" i="1"/>
  <c r="J268" i="1"/>
  <c r="J313" i="1"/>
  <c r="J331" i="1"/>
  <c r="J335" i="1"/>
  <c r="J361" i="1"/>
  <c r="J365" i="1"/>
  <c r="J369" i="1"/>
  <c r="J395" i="1"/>
  <c r="J402" i="1"/>
  <c r="J440" i="1"/>
  <c r="J444" i="1"/>
  <c r="J458" i="1"/>
  <c r="J462" i="1"/>
  <c r="J473" i="1"/>
  <c r="J481" i="1"/>
  <c r="J485" i="1"/>
  <c r="J500" i="1"/>
  <c r="J507" i="1"/>
  <c r="J511" i="1"/>
  <c r="J515" i="1"/>
  <c r="J537" i="1"/>
  <c r="J541" i="1"/>
  <c r="J545" i="1"/>
  <c r="J549" i="1"/>
  <c r="J572" i="1"/>
  <c r="J587" i="1"/>
  <c r="J594" i="1"/>
  <c r="J609" i="1"/>
  <c r="J612" i="1"/>
  <c r="J616" i="1"/>
  <c r="J634" i="1"/>
  <c r="J638" i="1"/>
  <c r="J660" i="1"/>
  <c r="J667" i="1"/>
  <c r="J671" i="1"/>
  <c r="J693" i="1"/>
  <c r="J700" i="1"/>
  <c r="J704" i="1"/>
  <c r="J722" i="1"/>
  <c r="J568" i="1"/>
  <c r="J287" i="1"/>
  <c r="J381" i="1"/>
  <c r="J170" i="1"/>
  <c r="J426" i="1"/>
  <c r="J154" i="1"/>
  <c r="J410" i="1"/>
  <c r="J42" i="1"/>
  <c r="J298" i="1"/>
  <c r="J554" i="1"/>
  <c r="I9" i="1"/>
  <c r="H9" i="1"/>
  <c r="J9" i="1" l="1"/>
  <c r="G733" i="1" l="1"/>
  <c r="H734" i="1"/>
  <c r="G734" i="1"/>
  <c r="G735" i="1" l="1"/>
  <c r="H733" i="1"/>
  <c r="H735" i="1" s="1"/>
  <c r="J736" i="1" l="1"/>
</calcChain>
</file>

<file path=xl/sharedStrings.xml><?xml version="1.0" encoding="utf-8"?>
<sst xmlns="http://schemas.openxmlformats.org/spreadsheetml/2006/main" count="2199" uniqueCount="1181">
  <si>
    <t>VOL</t>
  </si>
  <si>
    <t>KETERANGAN</t>
  </si>
  <si>
    <t>NO</t>
  </si>
  <si>
    <t>DESIGNATOR</t>
  </si>
  <si>
    <t>URAIAN  PEKERJAAN</t>
  </si>
  <si>
    <t>SATUAN</t>
  </si>
  <si>
    <t>TOTAL HARGA (Rp.)</t>
  </si>
  <si>
    <t>MATERIAL</t>
  </si>
  <si>
    <t>JASA</t>
  </si>
  <si>
    <t>TOTAL</t>
  </si>
  <si>
    <t>A</t>
  </si>
  <si>
    <t>OSP FO FTTH</t>
  </si>
  <si>
    <t>meter</t>
  </si>
  <si>
    <t>pcs</t>
  </si>
  <si>
    <t>core</t>
  </si>
  <si>
    <t>unit</t>
  </si>
  <si>
    <t>Node</t>
  </si>
  <si>
    <t>set</t>
  </si>
  <si>
    <t>PT3 ODC, PT3 BRANCHING</t>
  </si>
  <si>
    <t>PT3 UNDERGROUND, PT3 AERIAL</t>
  </si>
  <si>
    <t>PT4 UNDERGROUND, PT4 AERIAL</t>
  </si>
  <si>
    <t>track</t>
  </si>
  <si>
    <t>m3</t>
  </si>
  <si>
    <t>Pengadaan galian batu masif kedalaman 1,5 meter, panjang minimum 5 m, termasuk pengadaan marking post</t>
  </si>
  <si>
    <t>Pekerjaan bobokan dan perbaikan Dinding Chamber / BTS / STO untuk lubang Sparing Kabel</t>
  </si>
  <si>
    <t>Titik</t>
  </si>
  <si>
    <t>Pengadaan dan pemasangan Alat Sambung Micro Duct cabang / lurus 2 cabang,termasuk gas block (seal).</t>
  </si>
  <si>
    <t>Pengadaan dan pemasangan Alat Sambung Micro Duct cabang / lurus 3 cabang,termasuk gas block (seal).</t>
  </si>
  <si>
    <t>Pengadaan dan pemasangan Alat Sambung Micro Duct cabang / lurus 4 cabang,termasuk gas block (seal).</t>
  </si>
  <si>
    <t>Pengadaan dan pemasangan Alat Sambung Micro Duct cabang / lurus 6 cabang,termasuk gas block (seal).</t>
  </si>
  <si>
    <t>Pengadaan dan Pemasangan Micro Duct 5/3.5mm, Direct Install, 1 way, untuk Air / Water Blowing kabel FO termasuk connector</t>
  </si>
  <si>
    <t>Pengadaan dan Pemasangan Micro Duct 5/3.5mm, Direct Install, 2 way, untuk Air / Water Blowing kabel FO termasuk connector</t>
  </si>
  <si>
    <t>Pengadaan dan Pemasangan Micro Duct 5/3.5mm, Direct Install, 4 way, untuk Air / Water Blowing kabel FO termasuk connector</t>
  </si>
  <si>
    <t>Pengadaan dan Pemasangan Micro Duct 5/3.5mm, Direct Install, 7 way, untuk Air / Water Blowing kabel FO termasuk connector</t>
  </si>
  <si>
    <t>Pengadaan dan Pemasangan Micro Duct 5/3.5mm, Direct Install, 12 way, untuk Air / Water Blowing kabel FO termasuk connector</t>
  </si>
  <si>
    <t>Pengadaan dan Pemasangan Micro Duct 5/3.5mm, Direct Install, 19 way, untuk Air / Water Blowing kabel FO termasuk connector</t>
  </si>
  <si>
    <t>Pengadaan dan Pemasangan Micro Duct 5/3.5mm, Direct Install, 24 way, untuk Air / Water Blowing kabel FO termasuk connector</t>
  </si>
  <si>
    <t>Pengadaan dan Pemasangan Micro Duct 10/8mm, Direct Install, 1 way, untuk Air / Water Blowing kabel FO termasuk connector</t>
  </si>
  <si>
    <t>Pengadaan dan Pemasangan Micro Duct 10/8mm, Direct Install, 2 way, untuk Air / Water Blowing kabel FO termasuk connector</t>
  </si>
  <si>
    <t>Pengadaan dan Pemasangan Micro Duct 10/8mm, Direct Install, 4 way, untuk Air / Water Blowing kabel FO termasuk connector</t>
  </si>
  <si>
    <t>Pengadaan dan Pemasangan Micro Duct 10/8mm, Direct Install, 7 way, untuk Air / Water Blowing kabel FO termasuk connector</t>
  </si>
  <si>
    <t>Pengadaan dan Pemasangan Micro Duct 12/10mm, Direct Install, 1 way, untuk Air / Water Blowing kabel FO termasuk connector</t>
  </si>
  <si>
    <t>Pengadaan dan Pemasangan Micro Duct 12/10mm, Direct Install, 2 way, untuk Air / Water Blowing kabel FO termasuk connector</t>
  </si>
  <si>
    <t>Pengadaan dan Pemasangan Micro Duct 12/10mm, Direct Install, 4 way, untuk Air / Water Blowing kabel FO termasuk connector</t>
  </si>
  <si>
    <t>Pengadaan dan Pemasangan Micro Duct 12/10mm, Direct Install, 7 way, untuk Air / Water Blowing kabel FO termasuk connector</t>
  </si>
  <si>
    <t>Pengadaan dan Pemasangan Micro Duct 16/14mm, Direct Install, 1 way, untuk Air / Water Blowing kabel FO termasuk connector</t>
  </si>
  <si>
    <t>Pengadaan dan Pemasangan Micro Duct 16/14mm, Direct Install, 2 way, untuk Air / Water Blowing kabel FO termasuk connector</t>
  </si>
  <si>
    <t>Pengadaan dan Pemasangan Micro Duct 5/3.5mm, Direct Buried, 1 way, untuk Air / Water Blowing kabel FO termasuk connector</t>
  </si>
  <si>
    <t>Pengadaan dan Pemasangan Micro Duct 5/3.5mm, Direct Buried, 2 way, untuk Air / Water Blowing kabel FO termasuk connector</t>
  </si>
  <si>
    <t>Pengadaan dan Pemasangan Micro Duct 5/3.5mm, Direct Buried, 4 way, untuk Air / Water Blowing kabel FO termasuk connector</t>
  </si>
  <si>
    <t>Pengadaan dan Pemasangan Micro Duct 5/3.5mm, Direct Buried,7 way, untuk Air / Water Blowing kabel FO termasuk connector</t>
  </si>
  <si>
    <t>Pengadaan dan Pemasangan Micro Duct 5/3.5mm, Direct Buried, 12 way, untuk Air / Water Blowing kabel FO termasuk connector</t>
  </si>
  <si>
    <t>Pengadaan dan Pemasangan Micro Duct 5/3.5mm, Direct Buried, 19 way, untuk Air / Water Blowing kabel FO termasuk connector</t>
  </si>
  <si>
    <t>Pengadaan dan Pemasangan Micro Duct 5/3.5mm, Direct Buried, 24 way, untuk Air / Water Blowing kabel FO termasuk connector</t>
  </si>
  <si>
    <t>Pengadaan dan Pemasangan Micro Duct 10/8mm, Direct Buried, 1 way, untuk Air / Water Blowing kabel FO termasuk connector</t>
  </si>
  <si>
    <t>Pengadaan dan Pemasangan Micro Duct 10/8mm, Direct Buried, 2 way, untuk Air / Water Blowing kabel FO termasuk connector</t>
  </si>
  <si>
    <t>Pengadaan dan Pemasangan Micro Duct 10/8mm, Direct Buried, 4 way, untuk Air / Water Blowing kabel FO termasuk connector</t>
  </si>
  <si>
    <t>Pengadaan dan Pemasangan Micro Duct 10/8mm, Direct Buried, 7 way, untuk Air / Water Blowing kabel FO termasuk connector</t>
  </si>
  <si>
    <t>Pengadaan dan Pemasangan Micro Duct 12/10mm, Direct Buried, 1 way, untuk Air / Water Blowing kabel FO termasuk connector</t>
  </si>
  <si>
    <t>Pengadaan dan Pemasangan Micro Duct 12/10mm, Direct Buried, 2 way, untuk Air / Water Blowing kabel FO termasuk connector</t>
  </si>
  <si>
    <t>Pengadaan dan Pemasangan Micro Duct 12/10mm, Direct Buried, 4 way, untuk Air / Water Blowing kabel FO termasuk connector</t>
  </si>
  <si>
    <t>Pengadaan dan Pemasangan Micro Duct 12/10mm, Direct Buried, 7 way, untuk Air / Water Blowing kabel FO termasuk connector</t>
  </si>
  <si>
    <t>Fabric Innerduct diameter 28mm 1 polongan</t>
  </si>
  <si>
    <t>Fabric Innerduct diameter 28mm 2 polongan</t>
  </si>
  <si>
    <t>Fabric Innerduct diameter 28mm 3 polongan</t>
  </si>
  <si>
    <t>Pekerjaan Pembuatan Handhole Type HH2 ukuran dimensi dalam (P X L X T = 120x130x165) cor beton 1 : 2 : 3</t>
  </si>
  <si>
    <t>Pekerjaan Pembuatan HH Pit Portable ODP beserta aksesorisnya</t>
  </si>
  <si>
    <t>Pekerjaan Pembuatan HH Pit Portable ODC beserta aksesorisnya</t>
  </si>
  <si>
    <t>Pekerjaan Peninggian Tutup Manhole/Handhole</t>
  </si>
  <si>
    <t>Pekerjaan Cut Over Kabel Serat Optik</t>
  </si>
  <si>
    <t>19" Wallmounted Rack 12U Depth 450mm</t>
  </si>
  <si>
    <t>Unit</t>
  </si>
  <si>
    <t>Pengadaan dan pemasangan Kabel Serat Optic Penanggal Single Mode 2 core dgn pelindung pipa G 657 A (indoor)</t>
  </si>
  <si>
    <t>Pengadaan dan pemasangan SC/UPC Connector for Drop / Indoor Cable (Fusion)</t>
  </si>
  <si>
    <t>Pekerjaan bobokan tembok/coring Cor Beton di ruang Shaft</t>
  </si>
  <si>
    <t>titik</t>
  </si>
  <si>
    <t>Pengadaan &amp; Pemasangan klem galvanise untuk airblown pipe dengan ketebalan 2mm, lebar 2.5 cm menggunakan dynabolt termasuk rekondisi atau perbaikan kerusakan</t>
  </si>
  <si>
    <t>19 inch 24 core Pull type optical fiber distribution frame 24 port Rack Mounted Indoor fiber patch panel, Include RS232 Passive Splitter Rackmount Chassis - 2U</t>
  </si>
  <si>
    <t>Pengadaan &amp; Pemasangan Optical Fiber High Density Cable, Close Rack 19 Inch. Lengkap termasuk Fibre Management maximum Capacity 7x144 core / 42U</t>
  </si>
  <si>
    <t>Pengadaan dan Pemasangan OTB Single Mode kapasitas 144 core (tidak termasuk terminasi), Adapter (SC Connector), pigtail dan protection sleeve pada cassette/box</t>
  </si>
  <si>
    <t>PT4 STO, PT4 BRANCHING</t>
  </si>
  <si>
    <t>Kabel Grounding NYAF 16 mm</t>
  </si>
  <si>
    <t>m2</t>
  </si>
  <si>
    <t>FEEDER, PT2/PT3</t>
  </si>
  <si>
    <t>Pembuatan Handhole Pit ukuran dimensi dalam (P x L x T = 80cm x 80cm x 80cm) cor beton 1 : 2 : 3</t>
  </si>
  <si>
    <t>Pengadaan dan Pemasangan Slack include sabuk ukuran dimensi dalam (P x L = 80cm x 80cm)</t>
  </si>
  <si>
    <t>Pengadaan dan Pemasangan Slack include sabuk ukuran dimensi dalam (P x L = 120cm x 120cm)</t>
  </si>
  <si>
    <t>Pengadaan dan Pemasangan label kabel distribusi fo dengan material akrilik warna (P x L = 5cm x 15cm, tebal = 5 mm)</t>
  </si>
  <si>
    <t>DAFTAR HARGA SATUAN</t>
  </si>
  <si>
    <t>PROJECT : PROJECT NAME</t>
  </si>
  <si>
    <t>STO : KODE STO</t>
  </si>
  <si>
    <t>Btg</t>
  </si>
  <si>
    <t>Pengadaan dan Pemasangan Kabel Udara Fiber Optik All Dielectric Self Supporting Cable (ADSS) Single Mode 12 Core G.652.D</t>
  </si>
  <si>
    <t>Pengadaan dan Pemasangan Kabel Udara Fiber Optik All Dielectric Self Supporting Cable (ADSS) Single Mode 24 Core G.652.D</t>
  </si>
  <si>
    <t>Pengadaan dan Pemasangan Kabel Udara Fiber Optik All Dielectric Self Supporting Cable (ADSS) Single Mode 48 Core G.652.D</t>
  </si>
  <si>
    <t>Pengadaan dan Pemasangan Kabel Udara Fiber Optik All Dielectric Self Supporting Cable (ADSS) Single Mode 96 Core G.652.D</t>
  </si>
  <si>
    <t>Pengadaan dan Pemasangan Aksesoris Tiang Helical Dead-End Clamp untuk Kabel ADSS ukuran 50/70</t>
  </si>
  <si>
    <t>Pengadaan dan Pemasangan Aksesoris Tiang Suspension Clamp Corong untuk Kabel ADSS</t>
  </si>
  <si>
    <t>Pengadaan dan Pemasangan Aksesoris Tiang Helical Performed Grip untuk Kabel ADSS</t>
  </si>
  <si>
    <t>Pekerjaan galian pada permukaan jalan aspal yang bebas dari utilitas publik dengan lebar galian 8 cm dan kedalaman 40 cm, termasuk perbaikan, pengurugan (backfilling) menggunakan concrete type K225 dan pengaspalan</t>
  </si>
  <si>
    <t>Pengadaan dan pemasangan tray PVC wiring duct 45x65mm yang digunakan untuk jalur penarikan kabel fiber optik</t>
  </si>
  <si>
    <t>Pcs</t>
  </si>
  <si>
    <t>Pengadaan dan Pemasangan Tiang Beton 7 Meter dengan Kekuatan Tarik 150 Kg</t>
  </si>
  <si>
    <t>Pengadaan dan Pemasangan Tiang Beton 9 Meter dengan Kekuatan Tarik 150 Kg</t>
  </si>
  <si>
    <t>Pengadaan dan pemasangan kabel duct fiber optik single mode 12 core g 652 d</t>
  </si>
  <si>
    <t>M-DC-OF-SM-12D</t>
  </si>
  <si>
    <t>J-DC-OF-SM-12D</t>
  </si>
  <si>
    <t>Pengadaan dan pemasangan kabel duct fiber optik single mode 24 core g 652 d</t>
  </si>
  <si>
    <t>M-DC-OF-SM-24D</t>
  </si>
  <si>
    <t>J-DC-OF-SM-24D</t>
  </si>
  <si>
    <t>Pengadaan dan pemasangan kabel duct fiber optik single mode 48 core g 652 d</t>
  </si>
  <si>
    <t>M-DC-OF-SM-48D</t>
  </si>
  <si>
    <t>J-DC-OF-SM-48D</t>
  </si>
  <si>
    <t>Pengadaan dan pemasangan kabel duct fiber optik single mode 96 core g 652 d</t>
  </si>
  <si>
    <t>M-DC-OF-SM-96D</t>
  </si>
  <si>
    <t>J-DC-OF-SM-96D</t>
  </si>
  <si>
    <t>Pengadaan dan pemasangan kabel duct fiber optik single mode 144 core g 652 d</t>
  </si>
  <si>
    <t>M-DC-OF-SM-144D</t>
  </si>
  <si>
    <t>J-DC-OF-SM-144D</t>
  </si>
  <si>
    <t>Pengadaan dan pemasangan kabel duct fiber optik single mode 288 core g 652 d</t>
  </si>
  <si>
    <t>M-DC-OF-SM-288D</t>
  </si>
  <si>
    <t>J-DC-OF-SM-288D</t>
  </si>
  <si>
    <t>Pengadaan dan pemasangan kabel udara fiber optik single mode 12 core g 652 d</t>
  </si>
  <si>
    <t>M-AC-OF-SM-12D</t>
  </si>
  <si>
    <t>J-AC-OF-SM-12D</t>
  </si>
  <si>
    <t>Pengadaan dan pemasangan kabel udara fiber optik single mode 24 core g 652 d</t>
  </si>
  <si>
    <t>M-AC-OF-SM-24D</t>
  </si>
  <si>
    <t>J-AC-OF-SM-24D</t>
  </si>
  <si>
    <t>Pengadaan dan pemasangan kabel udara fiber optik single mode 48 core g 652 d</t>
  </si>
  <si>
    <t>M-AC-OF-SM-48D</t>
  </si>
  <si>
    <t>J-AC-OF-SM-48D</t>
  </si>
  <si>
    <t>Pengadaan dan pemasangan kabel udara fiber optik single mode 96 core g 652 d</t>
  </si>
  <si>
    <t>M-AC-OF-SM-96D</t>
  </si>
  <si>
    <t>J-AC-OF-SM-96D</t>
  </si>
  <si>
    <t>Pengadaan dan pemasangan kabel duct fiber optik single mode 12 core g 655 c</t>
  </si>
  <si>
    <t>M-DC-OF-SM-12C</t>
  </si>
  <si>
    <t>J-DC-OF-SM-12C</t>
  </si>
  <si>
    <t>Pengadaan dan pemasangan kabel duct fiber optik single mode 24 core g 655 c</t>
  </si>
  <si>
    <t>M-DC-OF-SM-24C</t>
  </si>
  <si>
    <t>J-DC-OF-SM-24C</t>
  </si>
  <si>
    <t>Pengadaan dan pemasangan kabel duct fiber optik single mode 48 core g 655 c</t>
  </si>
  <si>
    <t>M-DC-OF-SM-48C</t>
  </si>
  <si>
    <t>J-DC-OF-SM-48C</t>
  </si>
  <si>
    <t>Pengadaan dan pemasangan kabel duct fiber optik single mode 96 core g 655 c</t>
  </si>
  <si>
    <t>M-DC-OF-SM-96C</t>
  </si>
  <si>
    <t>J-DC-OF-SM-96C</t>
  </si>
  <si>
    <t>Pengadaan dan pemasangan kabel udara fiber optik single mode 12 core g 655 c</t>
  </si>
  <si>
    <t>M-AC-OF-SM-12C</t>
  </si>
  <si>
    <t>J-AC-OF-SM-12C</t>
  </si>
  <si>
    <t>Pengadaan dan pemasangan kabel udara fiber optik single mode 24 core g 655 c</t>
  </si>
  <si>
    <t>M-AC-OF-SM-24C</t>
  </si>
  <si>
    <t>J-AC-OF-SM-24C</t>
  </si>
  <si>
    <t>Pengadaan dan pemasangan kabel udara fiber optik single mode 48 core g 655 c</t>
  </si>
  <si>
    <t>M-AC-OF-SM-48C</t>
  </si>
  <si>
    <t>J-AC-OF-SM-48C</t>
  </si>
  <si>
    <t>Pengadaan dan pemasangan kabel udara fiber optik single mode 96 core g 655 c</t>
  </si>
  <si>
    <t>M-AC-OF-SM-96C</t>
  </si>
  <si>
    <t>J-AC-OF-SM-96C</t>
  </si>
  <si>
    <t>Pengadaan dan pemasangan kabel duct fiber optik single mode 12 core g 652 d, "easy to split"</t>
  </si>
  <si>
    <t>M-DC-OF-SM-12-SC</t>
  </si>
  <si>
    <t>J-DC-OF-SM-12-SC</t>
  </si>
  <si>
    <t>Pengadaan dan pemasangan kabel duct fiber optik single mode 24 core g 652 d, "easy to split"</t>
  </si>
  <si>
    <t>M-DC-OF-SM-24-SC</t>
  </si>
  <si>
    <t>J-DC-OF-SM-24-SC</t>
  </si>
  <si>
    <t>Pengadaan dan pemasangan kabel udara fiber optik single mode 12 core g 652 d, "easy to split"</t>
  </si>
  <si>
    <t>M-AC-OF-SM-12-SC</t>
  </si>
  <si>
    <t>J-AC-OF-SM-12-SC</t>
  </si>
  <si>
    <t>Pengadaan dan pemasangan kabel udara fiber optik single mode 24 core g 652 d, "easy to split"</t>
  </si>
  <si>
    <t>M-AC-OF-SM-24-SC</t>
  </si>
  <si>
    <t>J-AC-OF-SM-24-SC</t>
  </si>
  <si>
    <t>Pengadaan dan pemasangan alat sambung (cabang/ lurus) untuk fiber optik kapasitas 12 - 24 core</t>
  </si>
  <si>
    <t>M-SC-OF-SM-24</t>
  </si>
  <si>
    <t>J-SC-OF-SM-24</t>
  </si>
  <si>
    <t>Pengadaan dan pemasangan alat sambung (cabang/ lurus) untuk fiber optik kapasitas 12 - 48 core</t>
  </si>
  <si>
    <t>M-SC-OF-SM-48</t>
  </si>
  <si>
    <t>J-SC-OF-SM-48</t>
  </si>
  <si>
    <t>Pengadaan dan pemasangan alat sambung (cabang/ lurus) untuk fiber optik kapasitas 12 - 96 core</t>
  </si>
  <si>
    <t>M-SC-OF-SM-96</t>
  </si>
  <si>
    <t>J-SC-OF-SM-96</t>
  </si>
  <si>
    <t>Pengadaan dan pemasangan alat sambung (cabang/ lurus) untuk fiber optik kapasitas 12 - 144 core</t>
  </si>
  <si>
    <t>M-SC-OF-SM-144</t>
  </si>
  <si>
    <t>J-SC-OF-SM-144</t>
  </si>
  <si>
    <t>Pengadaan dan pemasangan alat sambung (cabang/ lurus) untuk fiber optik kapasitas 12 - 288 core</t>
  </si>
  <si>
    <t>M-SC-OF-SM-288</t>
  </si>
  <si>
    <t>J-SC-OF-SM-288</t>
  </si>
  <si>
    <t>Penyambungan kabel optik single mode kap 1 core dengan cara fusion splice</t>
  </si>
  <si>
    <t>J-OS-SM-1</t>
  </si>
  <si>
    <t>Pengadaan dan pemasangan air blown cable optik, single mode 2 core, g 652 d</t>
  </si>
  <si>
    <t>M-AB-OF-SM-2D</t>
  </si>
  <si>
    <t>J-AB-OF-SM-2D</t>
  </si>
  <si>
    <t>Pengadaan dan pemasangan air blown cable optik, single mode 4 core, g 652 d</t>
  </si>
  <si>
    <t>M-AB-OF-SM-4D</t>
  </si>
  <si>
    <t>J-AB-OF-SM-4D</t>
  </si>
  <si>
    <t>Pengadaan dan pemasangan air blown cable optik, single mode core, g 652 d</t>
  </si>
  <si>
    <t>M-AB-OF-SM-8D</t>
  </si>
  <si>
    <t>J-AB-OF-SM-8D</t>
  </si>
  <si>
    <t>Pengadaan dan pemasangan air blown cable optik, single mode 12 core, g 652 d</t>
  </si>
  <si>
    <t>M-AB-OF-SM-12D</t>
  </si>
  <si>
    <t>J-AB-OF-SM-12D</t>
  </si>
  <si>
    <t>Pengadaan dan pemasangan air blown cable optik, single mode 24 core, g 652 d</t>
  </si>
  <si>
    <t>M-AB-OF-SM-24D</t>
  </si>
  <si>
    <t>J-AB-OF-SM-24D</t>
  </si>
  <si>
    <t>Pengadaan dan pemasangan air blown cable optik, single mode 48 core, g 652 d</t>
  </si>
  <si>
    <t>M-AB-OF-SM-48D</t>
  </si>
  <si>
    <t>J-AB-OF-SM-48D</t>
  </si>
  <si>
    <t>Pengadaan dan pemasangan air blown cable optik, single mode 72 core, g 652 d</t>
  </si>
  <si>
    <t>M-AB-OF-SM-72D</t>
  </si>
  <si>
    <t>J-AB-OF-SM-72D</t>
  </si>
  <si>
    <t>Pengadaan dan pemasangan air blown cable optik, single mode 96 core, g 652 d</t>
  </si>
  <si>
    <t>M-AB-OF-SM-96D</t>
  </si>
  <si>
    <t>J-AB-OF-SM-96D</t>
  </si>
  <si>
    <t>Pengadaan dan pemasangan air blown cable optik, single mode 144 core, g 652 d</t>
  </si>
  <si>
    <t>M-AB-OF-SM-144D</t>
  </si>
  <si>
    <t>J-AB-OF-SM-144D</t>
  </si>
  <si>
    <t>Pengadaan dan pemasangan air blown cable optik, single mode 288 core, g 652 d</t>
  </si>
  <si>
    <t>M-AB-OF-SM-288D</t>
  </si>
  <si>
    <t>J-AB-OF-SM-288D</t>
  </si>
  <si>
    <t>Pengadaan dan pemasangan patch cord 2 meter, (fc/lc/sc-apc to fc/lc/sc-apc), g.657</t>
  </si>
  <si>
    <t>M-PC-APC-657-2</t>
  </si>
  <si>
    <t>J-PC-APC-657-2</t>
  </si>
  <si>
    <t>Additional patch cord, g.657</t>
  </si>
  <si>
    <t>M-PC-APC/UPC-657-A1</t>
  </si>
  <si>
    <t>J-PC-APC/UPC-657-A1</t>
  </si>
  <si>
    <t>Pengadaan dan pemasangan patch cord 2 meter, (fc/lc/sc-upc to fc/lc/sc-upc), g.657</t>
  </si>
  <si>
    <t>M-PC-UPC-657-2</t>
  </si>
  <si>
    <t>J-PC-UPC-657-2</t>
  </si>
  <si>
    <t>Pengadaan dan pemasangan patch cord 2 meter, (fc/lc/sc-apc to fc/lc/sc-apc), g.655c</t>
  </si>
  <si>
    <t>M-PC-APC-655-2</t>
  </si>
  <si>
    <t>J-PC-APC-655-2</t>
  </si>
  <si>
    <t>Additional patch cord, g.655</t>
  </si>
  <si>
    <t>M-PC-APC/UPC-655-A1</t>
  </si>
  <si>
    <t>J-PC-APC/UPC-655-A1</t>
  </si>
  <si>
    <t>Pengadaan dan pemasangan patch cord 2 meter, (fc/lc/sc-upc to fc/lc/sc-upc), g.655c</t>
  </si>
  <si>
    <t>M-PC-UPC-655-2</t>
  </si>
  <si>
    <t>J-PC-UPC-655-2</t>
  </si>
  <si>
    <t>Pengadaan dan pemasangan patch cord 2 meter, (fc/lc/sc-apc to fc/lc/sc-apc), g.652 d</t>
  </si>
  <si>
    <t>M-PC-APC-652-2</t>
  </si>
  <si>
    <t>J-PC-APC-652-2</t>
  </si>
  <si>
    <t>Additional patch cord, g.652d</t>
  </si>
  <si>
    <t>M-PC-APC/UPC-652-A1</t>
  </si>
  <si>
    <t>J-PC-APC/UPC-652-A1</t>
  </si>
  <si>
    <t>Pengadaan dan pemasangan patch cord 2 meter, (fc/lc/sc-upc to fc/lc/sc-upc), g.652d</t>
  </si>
  <si>
    <t>M-PC-UPC-652-2</t>
  </si>
  <si>
    <t>J-PC-UPC-652-2</t>
  </si>
  <si>
    <t>Pengadaan dan pemasangan odc-pole (outdoor) dengan space untuk spliter modular termasuk material adaptor sc kap 48 core, berikut pelabelan</t>
  </si>
  <si>
    <t>M-ODC-C-48</t>
  </si>
  <si>
    <t>J-ODC-C-48</t>
  </si>
  <si>
    <t>Pengadaan dan pemasangan kabinet odc (outdoor) kap 96 core dengan space untuk spliter modular termasuk material adaptor sc, pigtail, pondasi berlapis keramik, lantai kerja keramik, patok pengaman (5 buah), berikut pelabelan</t>
  </si>
  <si>
    <t>M-ODC-C-96</t>
  </si>
  <si>
    <t>J-ODC-C-96</t>
  </si>
  <si>
    <t>Pengadaan dan pemasangan kabinet odc (outdoor) kap 144 core dengan space untuk spliter modular termasuk material adaptor sc, pigtail, pondasi berlapis keramik, lantai kerja keramik, patok pengaman (5 buah), berikut pelabelan</t>
  </si>
  <si>
    <t>M-ODC-C-144</t>
  </si>
  <si>
    <t>J-ODC-C-144</t>
  </si>
  <si>
    <t>Pengadaan dan pemasangan kabinet odc (outdoor) kap 288 core dengan space untuk spliter modular termasuk material adaptor sc, pigtail, pondasi berlapis keramik, lantai kerja keramik, patok pengaman (5 buah), berikut pelabelan</t>
  </si>
  <si>
    <t>M-ODC-C-288</t>
  </si>
  <si>
    <t>J-ODC-C-288</t>
  </si>
  <si>
    <t>Pengadaan dan pemasangan kabinet odc (outdoor) kap 576 core dengan space untuk spliter modular termasuk material adaptor sc, pigtail, pondasi berlapis keramik, lantai kerja keramik, patok pengaman (5 buah), berikut pelabelan</t>
  </si>
  <si>
    <t>M-ODC-C-576</t>
  </si>
  <si>
    <t>J-ODC-C-576</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</si>
  <si>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</si>
  <si>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M-ODC-C-144-PKU</t>
  </si>
  <si>
    <t>J-ODC-C-144-PKU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</si>
  <si>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</si>
  <si>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M-ODC-C-288-PKU</t>
  </si>
  <si>
    <t>J-ODC-C-288-PKU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</si>
  <si>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</si>
  <si>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M-ODC-C-144-PKT</t>
  </si>
  <si>
    <t>J-ODC-C-144-PKT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</si>
  <si>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</si>
  <si>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M-ODC-C-288-PKT</t>
  </si>
  <si>
    <t>J-ODC-C-288-PKT</t>
  </si>
  <si>
    <t>Pengaman odc 144 (besi siku 4cmx4cmx4mm, besi beton 10mm (jarak antar besi beton 10cm, engsel besar, baut ram set 14mm dan kunci gembok 50mm</t>
  </si>
  <si>
    <t>M-ODC-PROT-144</t>
  </si>
  <si>
    <t>J-ODC-PROT-144</t>
  </si>
  <si>
    <t>Pengaman odc 288 (besi siku 4cmx4cmx4mm, besi beton 10mm (jarak antar besi beton 10cm, engsel besar, baut ram set 14mm dan kunci gembok 50mm</t>
  </si>
  <si>
    <t>M-ODC-PROT-288</t>
  </si>
  <si>
    <t>J-ODC-PROT-288</t>
  </si>
  <si>
    <t>Pengadaan dan pemasangan otb termasuk terminasi dan penyambungan kabel optik single mode kap 12 core serta adapter (sc connector), pigtail dan protection sleeve pada cassette/box</t>
  </si>
  <si>
    <t>M-Base Tray ODC</t>
  </si>
  <si>
    <t>J-Base Tray ODC</t>
  </si>
  <si>
    <t>Pengadaan dan pemasangan odp ( pilar ) solid kap 8 core termasuk pigtail, berikut space 1 splitter (1:8), printing dan pelabelan penempelan qr code (qr code disediakan oleh telkom)</t>
  </si>
  <si>
    <t>M-ODP-SOLID-PL-8</t>
  </si>
  <si>
    <t>J-ODP-SOLID-PL-8</t>
  </si>
  <si>
    <t>Pengadaan dan pemasangan odp ( pilar ) solid kap 16 core termasuk pigtail, berikut space 1 splitter (1:16), printing dan pelabelan penempelan qr code (qr code disediakan oleh telkom)</t>
  </si>
  <si>
    <t>M-ODP-SOLID-PL-16</t>
  </si>
  <si>
    <t>J-ODP-SOLID-PL-16</t>
  </si>
  <si>
    <t>M-TC-SM-12</t>
  </si>
  <si>
    <t>J-TC-SM-12</t>
  </si>
  <si>
    <t>Pengadaan dan pemasangan otb termasuk terminasi dan penyambungan kabel optik single mode kap 24 core serta adapter (sc connector), pigtail dan protection sleeve pada cassette/box</t>
  </si>
  <si>
    <t>M-TC-SM-24</t>
  </si>
  <si>
    <t>J-TC-SM-24</t>
  </si>
  <si>
    <t>Pengadaan dan pemasangan otb termasuk terminasi dan penyambungan kabel optik single mode kap 48 core serta adapter (sc connector), pigtail dan protection sleeve pada cassette/box</t>
  </si>
  <si>
    <t>M-TC-SM-48</t>
  </si>
  <si>
    <t>J-TC-SM-48</t>
  </si>
  <si>
    <t>Pengadaan dan pemasangan otb termasuk terminasi dan penyambungan kabel optik single mode kap 96 core serta adapter (sc connector), pigtail dan protection sleeve pada cassette/box</t>
  </si>
  <si>
    <t>M-TC-SM-96</t>
  </si>
  <si>
    <t>J-TC-SM-96</t>
  </si>
  <si>
    <t>Pengadaan dan pemasangan passive splitter 1:2, type modular sc/upc, for odc, termasuk pigtail</t>
  </si>
  <si>
    <t>M-PS-1-2-ODC</t>
  </si>
  <si>
    <t>J-PS-1-2-ODC</t>
  </si>
  <si>
    <t>Pengadaan dan pemasangan passive splitter 1:4, type modular sc/upc, for odc, termasuk pigtail</t>
  </si>
  <si>
    <t>M-PS-1-4-ODC</t>
  </si>
  <si>
    <t>J-PS-1-4-ODC</t>
  </si>
  <si>
    <t>Pengadaan dan pemasangan passive splitter 1:8, type modular sc/upc, for odp, termasuk pigtail</t>
  </si>
  <si>
    <t>M-PS-1-8-ODX</t>
  </si>
  <si>
    <t>J-PS-1-8-ODX</t>
  </si>
  <si>
    <t>Pengadaan dan pemasangan passive splitter solid 1:8, type solid sc/upc, for odp, termasuk pigtail</t>
  </si>
  <si>
    <t>M-PS-1-8-ODX-S</t>
  </si>
  <si>
    <t>J-PS-1-8-ODX-S</t>
  </si>
  <si>
    <t>Pengadaan dan pemasangan passive splitter 1:16, type modular sc/upc, for odp, termasuk pigtail</t>
  </si>
  <si>
    <t>M-PS-1-16-ODP</t>
  </si>
  <si>
    <t>J-PS-1-16-ODP</t>
  </si>
  <si>
    <t>Pengadaan dan pemasangan passive splitter solid 1:16, type solid sc/upc, for odp, termasuk pigtail</t>
  </si>
  <si>
    <t>M-PS-1-16-ODP-S</t>
  </si>
  <si>
    <t>J-PS-1-16-ODP-S</t>
  </si>
  <si>
    <t>Pengadaan dan pemasangan passive splitter 2:2, type modular sc/upc, for odc, termasuk pigtail</t>
  </si>
  <si>
    <t>M-PS-2-2-ODC</t>
  </si>
  <si>
    <t>J-PS-2-2-ODC</t>
  </si>
  <si>
    <t>Pengadaan dan pemasangan passive splitter 2:4, type modular sc/upc, for odc, termasuk pigtail</t>
  </si>
  <si>
    <t>M-PS-2-4-ODC</t>
  </si>
  <si>
    <t>J-PS-2-4-ODC</t>
  </si>
  <si>
    <t>Pengadaan dan pemasangan passive splitter 2:8, type modular sc/upc, for odc, termasuk pigtail</t>
  </si>
  <si>
    <t>M-PS-2-8-ODX</t>
  </si>
  <si>
    <t>J-PS-2-8-ODX</t>
  </si>
  <si>
    <t>Pengadaan dan pemasangan passive splitter 1:32, type modular sc/upc, for odc/odp, termasuk pigtail</t>
  </si>
  <si>
    <t>M-PS-1-32-ODX</t>
  </si>
  <si>
    <t>J-PS-1-32-ODX</t>
  </si>
  <si>
    <t>Akuisisi lahan sitac odc</t>
  </si>
  <si>
    <t>J-SITAC ODC</t>
  </si>
  <si>
    <t>Pengadaan dan pemasangan tiang besi 7 meter, berikut cat &amp; cor pondasi dan assesories dengan kekuatan tarik 140 kg</t>
  </si>
  <si>
    <t>M-PU-S7.0-140</t>
  </si>
  <si>
    <t>J-PU-S7.0-140</t>
  </si>
  <si>
    <t>Pengadaan dan pemasangan tiang besi 9 meter, berikut cat &amp; cor dan assesories dengan kekuatan tarik 140 kg</t>
  </si>
  <si>
    <t>M-PU-S9.0-140</t>
  </si>
  <si>
    <t>J-PU-S9.0-140</t>
  </si>
  <si>
    <t>Pengadaan dan pemasangan temberang tarik</t>
  </si>
  <si>
    <t>M-GU-G</t>
  </si>
  <si>
    <t>J-GU-G</t>
  </si>
  <si>
    <t>Pengadaan dan pemasangan grounding 1 titik rod pada odp /kotak pembagi dengan tahanan maks 3 ohm</t>
  </si>
  <si>
    <t>M-GB-G1</t>
  </si>
  <si>
    <t>J-GB-G1</t>
  </si>
  <si>
    <t>Pengadaan dan pemasangan grounding 3 titik rod pada odc dengan tahanan maks 1 ohm</t>
  </si>
  <si>
    <t>M-GB-G3</t>
  </si>
  <si>
    <t>J-GB-G3</t>
  </si>
  <si>
    <t>Pengadaan dan pemasangan material grounding di lokasi gedung eksisting dengan cara integrasi</t>
  </si>
  <si>
    <t>M-GB-G-INTG</t>
  </si>
  <si>
    <t>J-GB-G-INTG</t>
  </si>
  <si>
    <t>Pengadaan dan pemasangan riser pipe untuk pengaman kabel optik ke odc pole / titik naik ku diamater 2 inch panjang 3 meter</t>
  </si>
  <si>
    <t>M-TC-02-ODC</t>
  </si>
  <si>
    <t>J-TC-02-ODC</t>
  </si>
  <si>
    <t>Pengadaan dan pemasangan pipe protector indoor cable (pvc white) high impact conduit 20 mm</t>
  </si>
  <si>
    <t>M-PP-OF-IN</t>
  </si>
  <si>
    <t>J-PP-OF-IN</t>
  </si>
  <si>
    <t>Pengadaan dan pemasangan pipa besi diameter 100 mm dan ketebalan pipa 3,65 mm untuk crossing 1 pipa bentang ≤ 6 meter</t>
  </si>
  <si>
    <t>M-DD-S3-1</t>
  </si>
  <si>
    <t>J-DD-S3-1</t>
  </si>
  <si>
    <t>Pengadaan dan pemasangan pipa besi diameter 100 mm dan ketebalan pipa 3,65 mm untuk crossing 2 pipa bentang ≤ 6 meter</t>
  </si>
  <si>
    <t>M-DD-S3-2</t>
  </si>
  <si>
    <t>J-DD-S3-2</t>
  </si>
  <si>
    <t>Pengadaan dan pemasangan pipa besi diameter 100 mm dan ketebalan pipa 3,65 mm untuk crossing 3 pipa bentang ≤ 6 meter</t>
  </si>
  <si>
    <t>M-DD-S3-3</t>
  </si>
  <si>
    <t>J-DD-S3-3</t>
  </si>
  <si>
    <t>Pengadan dan pemasangan pipa duct pvc diameter dalam 100 mm, ketebalan 4 mm, 1 pipa termasuk pengecoran</t>
  </si>
  <si>
    <t>M-DD-V4-1</t>
  </si>
  <si>
    <t>J-DD-V4-1</t>
  </si>
  <si>
    <t>Pengadan dan pemasangan pipa duct pvc diameter dalam 100 mm, ketebalan 4 mm, 2 pipa termasuk pengecoran</t>
  </si>
  <si>
    <t>M-DD-V4-2</t>
  </si>
  <si>
    <t>J-DD-V4-2</t>
  </si>
  <si>
    <t>Pemasangan pipa duct dengan selubung pasir dia 100 mm dengan ketebalan 5,5 mm, 1 pipa ( crossing )</t>
  </si>
  <si>
    <t>M-DD-V5-1</t>
  </si>
  <si>
    <t>J-DD-V5-1</t>
  </si>
  <si>
    <t>Pemasangan pipa duct dengan selubung pasir dia 100 mm dengan ketebalan 5,5 mm, 2 pipa ( crossing )</t>
  </si>
  <si>
    <t>M-DD-V5-2</t>
  </si>
  <si>
    <t>J-DD-V5-2</t>
  </si>
  <si>
    <t>Pengadaan dan pemasangan pipa duct menempel pada jembatan existing menggunakan pipa galvanis diamenter 100 mm, tebal 3,65 mm, 1 pipa</t>
  </si>
  <si>
    <t>M-DD-DA-S1</t>
  </si>
  <si>
    <t>J-DD-DA-S1</t>
  </si>
  <si>
    <t>Pengadaan dan pemasangan pipa duct menempel pada jembatan existing menggunakan pipa galvanis diamenter 100 mm, tebal 3,65 mm, 2 pipa</t>
  </si>
  <si>
    <t>M-DD-DA-S2</t>
  </si>
  <si>
    <t>J-DD-DA-S2</t>
  </si>
  <si>
    <t>Pengadaan dan pemasangan pipa duct menempel pada jembatan existing menggunakan pipa galvanis diamenter 100 mm, tebal 3,65 mm, 4 pipa</t>
  </si>
  <si>
    <t>M-DD-DA-S4</t>
  </si>
  <si>
    <t>J-DD-DA-S4</t>
  </si>
  <si>
    <t>Pengadaan dan pemasangan pipa duct pada jembatan dengan self support berpenguatan menggunakan pipa besi galv 1 pipa, bentang 6 - 12 meter</t>
  </si>
  <si>
    <t>M-DD-BSS-S1</t>
  </si>
  <si>
    <t>J-DD-BSS-S1</t>
  </si>
  <si>
    <t>Pengadaan dan pemasangan pipa duct pada jembatan dengan self support berpenguatan menggunakan pipa besi galv 2 pipa, bentang 6 - 12 meter</t>
  </si>
  <si>
    <t>M-DD-BSS-S2</t>
  </si>
  <si>
    <t>J-DD-BSS-S2</t>
  </si>
  <si>
    <t>Pengadaan dan pemasangan pipa duct pada jembatan menggunakan pipa besi galv 1 pipa, bentang 6 - 12 meter</t>
  </si>
  <si>
    <t>M-DD-BTS-S1</t>
  </si>
  <si>
    <t>J-DD-BTS-S1</t>
  </si>
  <si>
    <t>Pengadaan dan pemasangan pipa duct pada jembatan menggunakan pipa besi galv 2 pipa, bentang 6 - 12 meter</t>
  </si>
  <si>
    <t>M-DD-BTS-S2</t>
  </si>
  <si>
    <t>J-DD-BTS-S2</t>
  </si>
  <si>
    <t>Pengadaan dan pemasangan pipa duct pada jembatan menggunakan pipa besi galv 4 pipa, bentang 6 - 12 meter</t>
  </si>
  <si>
    <t>M-DD-BTS-S4</t>
  </si>
  <si>
    <t>J-DD-BTS-S4</t>
  </si>
  <si>
    <t>Pengadaan dan pemasangan pipa duct dengan system gantung 1 tiang besi, bentang s/d 40 meter</t>
  </si>
  <si>
    <t>M-HB-PS-1</t>
  </si>
  <si>
    <t>J-HB-PS-1</t>
  </si>
  <si>
    <t>Pengadaan dan pemasangan pipa duct dengan system gantung 2 tiang besi, bentang s/d 100 meter</t>
  </si>
  <si>
    <t>M-HB-PS-2</t>
  </si>
  <si>
    <t>J-HB-PS-2</t>
  </si>
  <si>
    <t>Pengadaan dan pemasangan pipa duct dengan system gantung 4 tiang besi, bentang ≥ 100 meter</t>
  </si>
  <si>
    <t>M-HB-PS-4</t>
  </si>
  <si>
    <t>J-HB-PS-4</t>
  </si>
  <si>
    <t>Pengadaan dan pemasangan boring pada lintasan kereta api menggunakan 1 pipa galvanis diameter 100 mm tebal 3,65 mm</t>
  </si>
  <si>
    <t>M-DD-BMR-1</t>
  </si>
  <si>
    <t>J-DD-BMR-1</t>
  </si>
  <si>
    <t>Pengadaan dan pemasangan boring pada lintasan kereta api menggunakan 2 pipa galvanis diameter 100 mm tebal 3,65 mm</t>
  </si>
  <si>
    <t>M-DD-BMR-2</t>
  </si>
  <si>
    <t>J-DD-BMR-2</t>
  </si>
  <si>
    <t>Pengadaan dan pemasangan boring pada lintasan kereta api menggunakan 4 pipa galvanis diameter 100 mm tebal 3,65 mm</t>
  </si>
  <si>
    <t>M-DD-BMR-4</t>
  </si>
  <si>
    <t>J-DD-BMR-4</t>
  </si>
  <si>
    <t>Pengadaan dan pemasangan 1 subduct 28/32 mm pada polongan route duct</t>
  </si>
  <si>
    <t>M-DC-SD-28-1</t>
  </si>
  <si>
    <t>J-DC-SD-28-1</t>
  </si>
  <si>
    <t>Pengadaan dan pemasangan 1 subduct 28/32 mm pada polongan route duct, 3 pipa</t>
  </si>
  <si>
    <t>M-DC-SD-28-3</t>
  </si>
  <si>
    <t>J-DC-SD-28-3</t>
  </si>
  <si>
    <t>Pengadaan dan pemasangan 1 subduct 40/33 pada polongan route duct</t>
  </si>
  <si>
    <t>M-DC-SD-33-1</t>
  </si>
  <si>
    <t>J-DC-SD-33-1</t>
  </si>
  <si>
    <t>Pengadaan dan pemasangan 1 subduct 40/33 pada polongan route duct, 2 pipa</t>
  </si>
  <si>
    <t>M-DC-SD-33-2</t>
  </si>
  <si>
    <t>J-DC-SD-33-2</t>
  </si>
  <si>
    <t>Pengadaan dan pemasangan 1 subduct 50/42 pada polongan route duct</t>
  </si>
  <si>
    <t>M-DC-SD-43-1</t>
  </si>
  <si>
    <t>J-DC-SD-43-1</t>
  </si>
  <si>
    <t>Engadaan dan pemasangan 1 subduct 50/42 pada polongan route duct, 2 pipa</t>
  </si>
  <si>
    <t>M-DC-SD-43-2</t>
  </si>
  <si>
    <t>J-DC-SD-43-2</t>
  </si>
  <si>
    <t>Pengadaan dan pemasangan duct cable penanggal diameter pipa pvc 2 inch (class aw) 1 pipa</t>
  </si>
  <si>
    <t>M-DCD-PVC-1</t>
  </si>
  <si>
    <t>J-DCD-PVC-1</t>
  </si>
  <si>
    <t>Pengadaan dan pemasangan pipa galvanis dengan ukuran diameter 100 mm dan ketebalan 3,65 mm dengan cara boring manual /mesin 1 pipa dengan kedalaman minimal 150 cm</t>
  </si>
  <si>
    <t>M-DD-BM-100-1</t>
  </si>
  <si>
    <t>J-DD-BM-100-1</t>
  </si>
  <si>
    <t>Pengadaan dan pemasangan pipa galvanis dengan ukuran diameter 100 mm dan ketebalan 3,65 mm dengan cara boring manual /mesin 1 pipa dengan kedalaman minimal 150 cm, 2 pipa</t>
  </si>
  <si>
    <t>M-DD-BM-100-2</t>
  </si>
  <si>
    <t>J-DD-BM-100-2</t>
  </si>
  <si>
    <t>Pengadaan dan pemasangan pipa galvanis dengan ukuran diameter 50 mm dan ketebalan 2,7 mm cara boring manual /mesin 1 pipa dengan kedalaman minimal 150 cm</t>
  </si>
  <si>
    <t>M-DD-BM-50-1</t>
  </si>
  <si>
    <t>J-DD-BM-50-1</t>
  </si>
  <si>
    <t>Pengadaan dan pemasangan pipa galvanis dengan ukuran diameter 50 mm dan ketebalan 2,7 mm cara boring manual /mesin 2 pipa dengan kedalaman minimal 150 cm</t>
  </si>
  <si>
    <t>M-DD-BM-50-2</t>
  </si>
  <si>
    <t>J-DD-BM-50-2</t>
  </si>
  <si>
    <t>Pekerjaan boring manual (rojok) hdpe 40/33 mm 1 pipa dengan kedalaman 1,5 meter</t>
  </si>
  <si>
    <t>J-DD-BM-HDPE-40-1</t>
  </si>
  <si>
    <t>Pekerjaan boring manual (rojok) hdpe 50/42 mm 1 pipa dengan kedalaman 1,5 meter</t>
  </si>
  <si>
    <t>J-DD-BM-HDPE-50-1</t>
  </si>
  <si>
    <t>Pengadaan dan pemasangan pipa hdpe 40/33 mm 1 pipa dengan kedalaman 1,5 meter</t>
  </si>
  <si>
    <t>M-DD-HDPE-40-1</t>
  </si>
  <si>
    <t>J-DD-HDPE-40-1</t>
  </si>
  <si>
    <t>Pengadaan dan pemasangan pipa hdpe 40/33 mm 2 pipa dengan kedalaman 1,5 meter</t>
  </si>
  <si>
    <t>M-DD-HDPE-40-2</t>
  </si>
  <si>
    <t>J-DD-HDPE-40-2</t>
  </si>
  <si>
    <t>Pengadaan dan pemasangan pipa hdpe 50/42 mm 1 pipa dengan kedalaman 1,5 meter</t>
  </si>
  <si>
    <t>M-DD-HDPE-50-1</t>
  </si>
  <si>
    <t>J-DD-HDPE-50-1</t>
  </si>
  <si>
    <t>Pengadaan dan pemasangan pipa hdpe 50/42 mm 2 pipa dengan kedalaman 1,5 meter</t>
  </si>
  <si>
    <t>M-DD-HDPE-50-2</t>
  </si>
  <si>
    <t>J-DD-HDPE-50-2</t>
  </si>
  <si>
    <t>Pengadaan dan pemasangan pipa hdpe 40/33 mm 1 pipa dengan kedalaman 1,5 meter sudah termasuk connector hdpe tipe compression fitting</t>
  </si>
  <si>
    <t>M-DD-HDPE-40-1C</t>
  </si>
  <si>
    <t>J-DD-HDPE-40-1C</t>
  </si>
  <si>
    <t>Pengadaan dan pemasangan pipa hdpe 40/33 mm 2 pipa dengan kedalaman 1,5 meter sudah termasuk connector hdpe tipe compression fitting</t>
  </si>
  <si>
    <t>M-DD-HDPE-40-2C</t>
  </si>
  <si>
    <t>J-DD-HDPE-40-2C</t>
  </si>
  <si>
    <t>Pekerjaan pembersihan pada route duct yang kosong / rodding duct existing.</t>
  </si>
  <si>
    <t>J-DD-ROD</t>
  </si>
  <si>
    <t>Pekerjaan perbaikan route duct / hdpe, 1 pipa.</t>
  </si>
  <si>
    <t>M-DD-RV-1</t>
  </si>
  <si>
    <t>J-DD-RV-1</t>
  </si>
  <si>
    <t>Pekerjaan bobok dinding mh / hh termasuk perbaikan kembali</t>
  </si>
  <si>
    <t>M-DD-RV-CONCRETE</t>
  </si>
  <si>
    <t>J-DD-RV-CONCRETE</t>
  </si>
  <si>
    <t>Pengadaan dan pemasangan duct baru dengan cara melakukan boring dibawah dasar parit/sungai dengan kedalaman 1,5 m dengan menggunakan pvc diamater 100 mm dan ketebalan 5,5 mm 1 pipa</t>
  </si>
  <si>
    <t>M-DD-DS-S1</t>
  </si>
  <si>
    <t>J-DD-DS-S1</t>
  </si>
  <si>
    <t>Pengadaan dan pemasangan duct baru type cod, dengan mesin pengeboran (borring) dibawah parit, pada kedalaman 1,50 m di bawah dasar selokan, tanpa perlindungan pvc, 1 pipa</t>
  </si>
  <si>
    <t>M-DD-DS-COD1-M</t>
  </si>
  <si>
    <t>J-DD-DS-COD1-M</t>
  </si>
  <si>
    <t>Pengkleman hdpe di dinding beton dengan klem ketebalan 2mm lebar 2,5 cm menggunakan dynabolt termasuk rekondisi atau perbaikan kerusakan</t>
  </si>
  <si>
    <t>M-Klem HDPE</t>
  </si>
  <si>
    <t>J-Klem HDPE</t>
  </si>
  <si>
    <t>Pekerjaan galian, pengurugan kembali dan perbaikan kembali, pengisian pasir, warning tape dan tanda rute kabel serta tempat sambung kedalaman 0.4 meter</t>
  </si>
  <si>
    <t>J-BC-TR-0.4</t>
  </si>
  <si>
    <t>Pekerjaan galian, pengurugan kembali dan perbaikan kembali, pengisian pasir, warning tape dan tanda rute kabel serta tempat sambung, kedalaman 0,6 meter</t>
  </si>
  <si>
    <t>J-BC-TR-0.6</t>
  </si>
  <si>
    <t>Pekerjaan galian, pengurugan kembali dan perbaikan kembali, pengisian pasir, warning tape dan tanda rute kabel serta tempat sambung, kedalaman 1 meter</t>
  </si>
  <si>
    <t>J-BC-TR-1</t>
  </si>
  <si>
    <t>Pekerjaan galian, pengurugan kembali dan perbaikan kembali, pengisian pasir, warning tape dan tanda rute kabel serta tempat sambung, kedalaman 1,2 meter</t>
  </si>
  <si>
    <t>J-BC-TR-2</t>
  </si>
  <si>
    <t>Pekerjaan galian, pengurugan kembali dan perbaikan kembali, pengisian pasir, warning tape dan tanda rute kabel serta tempat sambung, kedalaman 1,3 meter</t>
  </si>
  <si>
    <t>J-BC-TR-3</t>
  </si>
  <si>
    <t>Pekerjaan galian, pengurugan kembali dan perbaikan kembali, pengisian pasir, warning tape dan tanda rute kabel serta tempat sambung, kedalaman 1,4 meter</t>
  </si>
  <si>
    <t>J-BC-TR-4</t>
  </si>
  <si>
    <t>Pekerjaan galian, pengurugan kembali dan perbaikan kembali, pengisian pasir, warning tape dan tanda rute kabel serta tempat sambung kedalaman 1,5 meter</t>
  </si>
  <si>
    <t>J-BC-TR-5</t>
  </si>
  <si>
    <t>J-BCTR-ROCK</t>
  </si>
  <si>
    <t>Pekerjaan galian pada permukaan jalan aspal dengan lebar galian 8 cm dan kedalaman 40 cm, termasuk pemetaan utility eksisting dengan metode geo penetrating radar, perbaikan, pengurugan (backfilling) menggunakan concrete type k225 dan pengaspalan</t>
  </si>
  <si>
    <t>J-BC-MTR-0.4</t>
  </si>
  <si>
    <t>M-BD-SK</t>
  </si>
  <si>
    <t>J-BD-SK</t>
  </si>
  <si>
    <t>M-SMD-ABS-2A</t>
  </si>
  <si>
    <t>J-SMD-ABS-2A</t>
  </si>
  <si>
    <t>M-SMD-ABS-3A</t>
  </si>
  <si>
    <t>J-SMD-ABS-3A</t>
  </si>
  <si>
    <t>M-SMD-ABS-4A</t>
  </si>
  <si>
    <t>J-SMD-ABS-4A</t>
  </si>
  <si>
    <t>M-SMD-ABS-6A</t>
  </si>
  <si>
    <t>J-SMD-ABS-6A</t>
  </si>
  <si>
    <t>Pengadaan dan Pemasangan Straight Connector 5/3,5 mm</t>
  </si>
  <si>
    <t>M-DD-MDSC-5/3.5</t>
  </si>
  <si>
    <t>J-DD-MDSC-5/3.5</t>
  </si>
  <si>
    <t>Pengadaan dan Pemasangan Straight Connector 10/8 mm</t>
  </si>
  <si>
    <t>M-DD-MDSC-10/8</t>
  </si>
  <si>
    <t>J-DD-MDSC-10/8</t>
  </si>
  <si>
    <t>Pengadaan dan Pemasangan Straight Connector 12/10 mm</t>
  </si>
  <si>
    <t>M-DD-MDSC-12/10</t>
  </si>
  <si>
    <t>J-DD-MDSC-12/10</t>
  </si>
  <si>
    <t>M-DD-MDDI-1A</t>
  </si>
  <si>
    <t>J-DD-MDDI-1A</t>
  </si>
  <si>
    <t>M-DD-MDDI-2A</t>
  </si>
  <si>
    <t>J-DD-MDDI-2A</t>
  </si>
  <si>
    <t>M-DD-MDDI-4A</t>
  </si>
  <si>
    <t>J-DD-MDDI-4A</t>
  </si>
  <si>
    <t>M-DD-MDDI-7A</t>
  </si>
  <si>
    <t>J-DD-MDDI-7A</t>
  </si>
  <si>
    <t>M-DD-MDDI-12A</t>
  </si>
  <si>
    <t>J-DD-MDDI-12A</t>
  </si>
  <si>
    <t>M-DD-MDDI-19A</t>
  </si>
  <si>
    <t>J-DD-MDDI-19A</t>
  </si>
  <si>
    <t>M-DD-MDDI-24A</t>
  </si>
  <si>
    <t>J-DD-MDDI-24A</t>
  </si>
  <si>
    <t>M-DD-MDDI-1B</t>
  </si>
  <si>
    <t>J-DD-MDDI-1B</t>
  </si>
  <si>
    <t>M-DD-MDDI-2B</t>
  </si>
  <si>
    <t>J-DD-MDDI-2B</t>
  </si>
  <si>
    <t>M-DD-MDDI-4B</t>
  </si>
  <si>
    <t>J-DD-MDDI-4B</t>
  </si>
  <si>
    <t>M-DD-MDDI-7B</t>
  </si>
  <si>
    <t>J-DD-MDDI-7B</t>
  </si>
  <si>
    <t>M-DD-MDDI-1C</t>
  </si>
  <si>
    <t>J-DD-MDDI-1C</t>
  </si>
  <si>
    <t>M-DD-MDDI-2C</t>
  </si>
  <si>
    <t>J-DD-MDDI-2C</t>
  </si>
  <si>
    <t>M-DD-MDDI-4C</t>
  </si>
  <si>
    <t>J-DD-MDDI-4C</t>
  </si>
  <si>
    <t>M-DD-MDDI-7C</t>
  </si>
  <si>
    <t>J-DD-MDDI-7C</t>
  </si>
  <si>
    <t>M-DD-MDDI-1D</t>
  </si>
  <si>
    <t>J-DD-MDDI-1D</t>
  </si>
  <si>
    <t>M-DD-MDDI-2D</t>
  </si>
  <si>
    <t>J-DD-MDDI-2D</t>
  </si>
  <si>
    <t>M-DD-MDDB-1A</t>
  </si>
  <si>
    <t>J-DD-MDDB-1A</t>
  </si>
  <si>
    <t>M-DD-MDDB-2A</t>
  </si>
  <si>
    <t>J-DD-MDDB-2A</t>
  </si>
  <si>
    <t>M-DD-MDDB-4A</t>
  </si>
  <si>
    <t>J-DD-MDDB-4A</t>
  </si>
  <si>
    <t>M-DD-MDDB-7A</t>
  </si>
  <si>
    <t>J-DD-MDDB-7A</t>
  </si>
  <si>
    <t>M-DD-MDDB-12A</t>
  </si>
  <si>
    <t>J-DD-MDDB-12A</t>
  </si>
  <si>
    <t>M-DD-MDDB-19A</t>
  </si>
  <si>
    <t>J-DD-MDDB-19A</t>
  </si>
  <si>
    <t>M-DD-MDDB-24A</t>
  </si>
  <si>
    <t>J-DD-MDDB-24A</t>
  </si>
  <si>
    <t>M-DD-MDDB-1B</t>
  </si>
  <si>
    <t>J-DD-MDDB-1B</t>
  </si>
  <si>
    <t>M-DD-MDDB-2B</t>
  </si>
  <si>
    <t>J-DD-MDDB-2B</t>
  </si>
  <si>
    <t>M-DD-MDDB-4B</t>
  </si>
  <si>
    <t>J-DD-MDDB-4B</t>
  </si>
  <si>
    <t>M-DD-MDDB-7B</t>
  </si>
  <si>
    <t>J-DD-MDDB-7B</t>
  </si>
  <si>
    <t>M-DD-MDDB-1C</t>
  </si>
  <si>
    <t>J-DD-MDDB-1C</t>
  </si>
  <si>
    <t>M-DD-MDDB-2C</t>
  </si>
  <si>
    <t>J-DD-MDDB-2C</t>
  </si>
  <si>
    <t>M-DD-MDDB-4C</t>
  </si>
  <si>
    <t>J-DD-MDDB-4C</t>
  </si>
  <si>
    <t>M-DD-MDDB-7C</t>
  </si>
  <si>
    <t>J-DD-MDDB-7C</t>
  </si>
  <si>
    <t>Pengadaan dan Pemasangan End Cap 5/3,5 mm</t>
  </si>
  <si>
    <t>M-DD-MDEC-5/3.5</t>
  </si>
  <si>
    <t>J-DD-MDEC-5/3.5</t>
  </si>
  <si>
    <t>Pengadaan dan Pemasangan End Cap 10/8 mm</t>
  </si>
  <si>
    <t>M-DD-MDEC-10/8</t>
  </si>
  <si>
    <t>J-DD-MDEC-10/8</t>
  </si>
  <si>
    <t>Pengadaan dan Pemasangan End Cap 12/10 mm</t>
  </si>
  <si>
    <t>M-DD-MDEC-12/10</t>
  </si>
  <si>
    <t>J-DD-MDEC-12/10</t>
  </si>
  <si>
    <t>M-FID-28-1</t>
  </si>
  <si>
    <t>J-FID-28-1</t>
  </si>
  <si>
    <t>M-FID-28-2</t>
  </si>
  <si>
    <t>J-FID-28-2</t>
  </si>
  <si>
    <t>M-FID-28-3</t>
  </si>
  <si>
    <t>J-FID-28-3</t>
  </si>
  <si>
    <t>Pekerjaan Pembuatan Handhole Type HH1 ukuran dimensi dalam (P X L X T = 170x150x165) cor beton 1 : 2 : 3</t>
  </si>
  <si>
    <t>M-MH-HH1</t>
  </si>
  <si>
    <t>J-MH-HH1</t>
  </si>
  <si>
    <t>M-MH-HH2</t>
  </si>
  <si>
    <t>J-MH-HH2</t>
  </si>
  <si>
    <t>Pekerjaan Pembuatan HH Pit Portable Home Access beserta aksesorisnya</t>
  </si>
  <si>
    <t>M-HH-PIT-P-HA</t>
  </si>
  <si>
    <t>J-HH-PIT-P-HA</t>
  </si>
  <si>
    <t>M-HH-PIT-P-ODP</t>
  </si>
  <si>
    <t>J-HH-PIT-P-ODP</t>
  </si>
  <si>
    <t>M-HH-PIT-P-ODC</t>
  </si>
  <si>
    <t>J-HH-PIT-P-ODC</t>
  </si>
  <si>
    <t>M-HH-PIT-80</t>
  </si>
  <si>
    <t>J-HH-PIT-80</t>
  </si>
  <si>
    <t>M-Slack Support HH</t>
  </si>
  <si>
    <t>J-Slack Support HH</t>
  </si>
  <si>
    <t>M-Slack Support Chamber</t>
  </si>
  <si>
    <t>J-Slack Support Chamber</t>
  </si>
  <si>
    <t>M-MH-CA</t>
  </si>
  <si>
    <t>J-MH-CA</t>
  </si>
  <si>
    <t>J-CO-OF</t>
  </si>
  <si>
    <t>M-Close Rack 12U</t>
  </si>
  <si>
    <t>J-Close Rack 12U</t>
  </si>
  <si>
    <t>M-DC-OF-SM-2A</t>
  </si>
  <si>
    <t>J-DC-OF-SM-2A</t>
  </si>
  <si>
    <t>M-FC-SC-DC</t>
  </si>
  <si>
    <t>J-FC-SC-DC</t>
  </si>
  <si>
    <t>J-Coring</t>
  </si>
  <si>
    <t>M-Klem Galvanise</t>
  </si>
  <si>
    <t>J-Klem Galvanise</t>
  </si>
  <si>
    <t>M-Rak Pasif spliter 1:4</t>
  </si>
  <si>
    <t>J-Rak Pasif spliter 1:4</t>
  </si>
  <si>
    <t>M-Label Kabel Distribusi (KU FO)</t>
  </si>
  <si>
    <t>J-Label Kabel Distribusi (KU FO)</t>
  </si>
  <si>
    <t>Lumpsum</t>
  </si>
  <si>
    <t>J-Preliminary Project</t>
  </si>
  <si>
    <t>M-FTM-CR-19</t>
  </si>
  <si>
    <t>J-FTM-CR-19</t>
  </si>
  <si>
    <t>M-TC-SM-144</t>
  </si>
  <si>
    <t>J-TC-SM-144</t>
  </si>
  <si>
    <t>M-GC-NYAF-16</t>
  </si>
  <si>
    <t>J-GC-NYAF-16</t>
  </si>
  <si>
    <t>Pengadaan dan Pemasangan sistem bracket penopang HDPE dengan bahan plat besi galvanized (elektro) tebal 2 mm ukuran 40x17x4,2 cm (PxTxL) dengan 2 dynabolt stainless steel M10x70mm dan 9 cable ties ukuran 14,5 inch.</t>
  </si>
  <si>
    <t>M-BR-HDPE</t>
  </si>
  <si>
    <t>J-BR-HDPE</t>
  </si>
  <si>
    <t>Penggalian dengan kondisi tanah Padas/Cadas termasuk pengurugan dan perbaikan kembali bekas galian dengan permukaan cor beton 1:2:3 (lebar30cm, ketebalan 40cm) dengan kedalaman minimal 80 cm</t>
  </si>
  <si>
    <t>M-BC-TR-S-0.8</t>
  </si>
  <si>
    <t>J-BC-TR-S-0.8</t>
  </si>
  <si>
    <t>Penggalian dengan kondisi tanah Padas/Cadas termasuk pengurugan dan perbaikan kembali bekas galian dengan kedalaman minimal 100 cm</t>
  </si>
  <si>
    <t>J-BC-TR-S-1</t>
  </si>
  <si>
    <t>Penggalian dengan kondisi tanah Padas/Cadas termasuk pengurugan dan perbaikan kembali bekas galian dengan kedalaman minimal 120 cm</t>
  </si>
  <si>
    <t>J-BC-TR-S-2</t>
  </si>
  <si>
    <t>Penggalian dengan kondisi tanah Padas/Cadas termasuk pengurugan dan perbaikan kembali bekas galian dengan kedalaman minimal 130 cm</t>
  </si>
  <si>
    <t>J-BC-TR-S-3</t>
  </si>
  <si>
    <t>Penggalian dengan kondisi tanah Padas/Cadas termasuk pengurugan dan perbaikan kembali bekas galian dengan kedalaman minimal 140 cm</t>
  </si>
  <si>
    <t>J-BC-TR-S-4</t>
  </si>
  <si>
    <t>Penggalian dengan kondisi tanah Padas/Cadas termasuk pengurugan dan perbaikan kembali bekas galian dengan kedalaman minimal 150 cm</t>
  </si>
  <si>
    <t>J-BC-TR-S-5</t>
  </si>
  <si>
    <t>Pengadaen den Pemasangan Tieng Besl Galvanls 6m tanpa sambungan, berlkut cat dan cor pondesl (1:2:3) dengan kekuetan tank 35kg</t>
  </si>
  <si>
    <t>M-PU-G6.0-35kg</t>
  </si>
  <si>
    <t>J-PU-G6.0-35kg</t>
  </si>
  <si>
    <t>Pengadaan den Pemasangan Slstem Gantung pads tiang ekslsting menggunaken kewet sling baja den klem due lubang</t>
  </si>
  <si>
    <t>M-HS-PS-Exist</t>
  </si>
  <si>
    <t>J-HS-PS-Exist</t>
  </si>
  <si>
    <t>Pengadaan dan Pemasangan Tiang Besi Telekomunikasi 7 Meter dengan 2 Segmen untuk Kabel Distribusi berikut Cat &amp; Cor Pondasi (1:2:3) dengan Kekuatan Tarik 400 Newton Meter</t>
  </si>
  <si>
    <t>M-PU-S7.0-400NM</t>
  </si>
  <si>
    <t>J-PU-S7.0-400NM</t>
  </si>
  <si>
    <t>J-BC-TR-A-0.4</t>
  </si>
  <si>
    <t>M-Tray-Mesh-PVC</t>
  </si>
  <si>
    <t>J-Tray-Mesh-PVC</t>
  </si>
  <si>
    <t>Pengadaan dan pemasangan bracket L atau siku panjang 155mm – 200mm</t>
  </si>
  <si>
    <t>M-BR-L-150-200mm</t>
  </si>
  <si>
    <t>J-BR-L-150-200mm</t>
  </si>
  <si>
    <t>M-PU-C7.0-150</t>
  </si>
  <si>
    <t>J-PU-C7.0-150</t>
  </si>
  <si>
    <t>M-PU-C9.0-150</t>
  </si>
  <si>
    <t>J-PU-C9.0-150</t>
  </si>
  <si>
    <t>M-AC-OF-SM-ADSS-12D</t>
  </si>
  <si>
    <t>J-AC-OF-SM-ADSS-12D</t>
  </si>
  <si>
    <t>M-AC-OF-SM-ADSS-24D</t>
  </si>
  <si>
    <t>J-AC-OF-SM-ADSS-24D</t>
  </si>
  <si>
    <t>M-AC-OF-SM-ADSS-48D</t>
  </si>
  <si>
    <t>J-AC-OF-SM-ADSS-48D</t>
  </si>
  <si>
    <t>M-AC-OF-SM-ADSS-96D</t>
  </si>
  <si>
    <t>J-AC-OF-SM-ADSS-96D</t>
  </si>
  <si>
    <t>M-PU-AS-DE-50/70</t>
  </si>
  <si>
    <t>J-PU-AS-DE-50/70</t>
  </si>
  <si>
    <t>M-PU-AS-SC</t>
  </si>
  <si>
    <t>J-PU-AS-SC</t>
  </si>
  <si>
    <t>M-PU-AS-HL</t>
  </si>
  <si>
    <t>J-PU-AS-HL</t>
  </si>
  <si>
    <t>Pengadaan Dan Pemasangan Drop Cable FO 1 Core Single Mode G.657 dengan Penguat 3 Seling</t>
  </si>
  <si>
    <t>M-AC-OF-SM-1-3SL</t>
  </si>
  <si>
    <t>J-AC-OF-SM-1-3SL</t>
  </si>
  <si>
    <t>PEMBONGKARAN KABEL UDARA FIBER OPTIK KAPASITAS 6-24 CORE</t>
  </si>
  <si>
    <t>J-BKR-KU-FO-6-24</t>
  </si>
  <si>
    <t>PEMBONGKARAN KABEL UDARA FIBER OPTIK KAPASITAS 48-96 CORE</t>
  </si>
  <si>
    <t>J-BKR-KU-FO-48-96</t>
  </si>
  <si>
    <t>REGEL KABEL UDARA FIBER OPTIK KAPASITAS 6-24 CORE</t>
  </si>
  <si>
    <t>J-RGL-KU-FO-6-24</t>
  </si>
  <si>
    <t>REGEL KABEL UDARA FIBER OPTIK KAPASITAS 48-96 CORE</t>
  </si>
  <si>
    <t>J-RGL-KU-FO-48-96</t>
  </si>
  <si>
    <t>PENGADAAN DAN PEMASANGAN PROTECTION SLEEVE 6MM, PANJANG 6CM</t>
  </si>
  <si>
    <t>M-PROT-SLV</t>
  </si>
  <si>
    <t>J-PROT-SLV</t>
  </si>
  <si>
    <t>PEMBUATAN / PEMASANGAN TANDA ROUTE KABEL</t>
  </si>
  <si>
    <t>M-T-ROUTE-KABEL</t>
  </si>
  <si>
    <t>J-T-ROUTE-KABEL</t>
  </si>
  <si>
    <t>PENGADAAN ALUR KABEL MENGGUNAKAN PIPA GALVANIS DIAMETER 2 INCHI, DI DALAM GALIAN BETON / KERAMIK DENGAN KEDALAMAN 10CM, LEBAR 5CM DARI AREA DISPENSER MENUJU OFFICE TERMASUK PERBAIKAN KEMBALI JALUR GALIAN</t>
  </si>
  <si>
    <t>Mtr</t>
  </si>
  <si>
    <t>M-BC-MTR-GALV.2-3.6</t>
  </si>
  <si>
    <t>J-BC-MTR-GALV.2-3.6</t>
  </si>
  <si>
    <t>PENGADAAN DAN PEMASANGAN PIPA DUCT DENGAN SYSTEM GANTUNG 2 TIANG BETON, BENTANG S/D 100 METER</t>
  </si>
  <si>
    <t>M-HB-PC-2</t>
  </si>
  <si>
    <t>J-HB-PC-2</t>
  </si>
  <si>
    <t>PENGECATAN TIANG TELEPON TUNGGAL 7 M DAN 9 M</t>
  </si>
  <si>
    <t>M-PT-TT-7</t>
  </si>
  <si>
    <t>J-PT-TT-7</t>
  </si>
  <si>
    <t>PENGECORAN TIANG TELEPON TUNGGAL 7 M DAN 9M</t>
  </si>
  <si>
    <t>M-PC-TT-7/9</t>
  </si>
  <si>
    <t>J-PC-TT-7/9</t>
  </si>
  <si>
    <t>PENGADAAN DAN PEMASANGAN TIANG BESI GALVANIZED MEDIUM DIAMETER 2,5 INCH PANJANG 6 METER, BERIKUT CAT, COR PONDASI ATAU KLEM TUMPUAN KE DINDING TAMBATAN BESERTA MUR MAUT YANG SESUAI LENGKAP</t>
  </si>
  <si>
    <t>M-PU-G6-2,5</t>
  </si>
  <si>
    <t>J-PU-G6-2,5</t>
  </si>
  <si>
    <t>PENGADAAN DAN PEMASANGAN TIANG BESI GALVANIZED MEDIUM DIAMETER 3 INCH PANJANG 6 METER, BERIKUT CAT, COR PONDASI ATAU KLEM TUMPUAN KE DINDING TAMBATAN BESERTA MUR MAUT YANG SESUAI LENGKAP</t>
  </si>
  <si>
    <t>M-PU-G6-3</t>
  </si>
  <si>
    <t>J-PU-G6-3</t>
  </si>
  <si>
    <t>RISER PIPA 1,25" GALVANIS MEDIUM UTK KABEL TURUN/NAIK CATUAN KT/KU PADA TIANG/DINDING</t>
  </si>
  <si>
    <t>M-RP-GJ-1,25</t>
  </si>
  <si>
    <t>J-RP-GJ-1,25</t>
  </si>
  <si>
    <t>RISER PIPA 1,50" GALVANIS MEDIUM UTK KABEL TURUN/NAIK CATUAN KT/KU PADA TIANG/DINDING</t>
  </si>
  <si>
    <t>M-RP-GJ-1,50</t>
  </si>
  <si>
    <t>J-RP-GJ-1,50</t>
  </si>
  <si>
    <t>RISER PIPA 2,00" GALVANIS MEDIUM UTK KABEL TURUN/NAIK CATUAN KT/KU PADA TIANG/DINDING</t>
  </si>
  <si>
    <t>M-RP-GJ-2</t>
  </si>
  <si>
    <t>J-RP-GJ-2</t>
  </si>
  <si>
    <t>S-CLAMP PADA TIANG</t>
  </si>
  <si>
    <t>Bh</t>
  </si>
  <si>
    <t>M-S-CLAMP</t>
  </si>
  <si>
    <t>J-S-CLAMP</t>
  </si>
  <si>
    <t>SUSPENSION CAPIT</t>
  </si>
  <si>
    <t>M-SUS-CAP</t>
  </si>
  <si>
    <t>J-SUS-CAP</t>
  </si>
  <si>
    <t>PENGADAAN SLACK SUPPORT</t>
  </si>
  <si>
    <t>M-SLACK-SUPP</t>
  </si>
  <si>
    <t>J-SLACK-SUPP</t>
  </si>
  <si>
    <t>KLEM COOCKER ODP SOLID</t>
  </si>
  <si>
    <t>M-ODP-KLEM-COOKER</t>
  </si>
  <si>
    <t>J-ODP-KLEM-COOKER</t>
  </si>
  <si>
    <t>KLEM KABEL UDARA ODP SOLID</t>
  </si>
  <si>
    <t>M-ODP-KLEM-KU</t>
  </si>
  <si>
    <t>J-ODP-KLEM-KU</t>
  </si>
  <si>
    <t>RISE PIPE (COOCKER) ODP SOLID</t>
  </si>
  <si>
    <t>M-ODP-RISE</t>
  </si>
  <si>
    <t>J-ODP-RISE</t>
  </si>
  <si>
    <t>PENGADAAN DAN PEMASANGAN AKSESORIS TIANG BESI STAINLESS BELT</t>
  </si>
  <si>
    <t>M-STAINLESS BELT</t>
  </si>
  <si>
    <t>J-STAINLESS BELT</t>
  </si>
  <si>
    <t>PENGADAAN DAN PEMASANGAN AKSESORIS TIANG BESI BUCKLE</t>
  </si>
  <si>
    <t>M-BUCKLE</t>
  </si>
  <si>
    <t>J-BUCKLE</t>
  </si>
  <si>
    <t>PENGADAAN DAN PEMASANGAN AKSESORIS TIANG BESI SUSPENSION AYUN</t>
  </si>
  <si>
    <t>M-SUSPENSION AYUN</t>
  </si>
  <si>
    <t>J-SUSPENSION AYUN</t>
  </si>
  <si>
    <t>PENGADAAN DAN PEMASANGAN AKSESORIS TIANG BESI POLESTRAP SPIRAL</t>
  </si>
  <si>
    <t>M-POLESTRAP SPIRAL</t>
  </si>
  <si>
    <t>J-POLESTRAP SPIRAL</t>
  </si>
  <si>
    <t>PENGADAAN DAN PEMASANGAN AKSESORIS TIANG BESI ANCHORING</t>
  </si>
  <si>
    <t>M-ANCHORING</t>
  </si>
  <si>
    <t>J-ANCHORING</t>
  </si>
  <si>
    <t>PENGADAAN DAN PEMASANGAN AKSESORIS TIANG BESI CLAMP HOK/BRACKET PELANGGAN SPIRAL</t>
  </si>
  <si>
    <t>M-CLAMP HOOK/BRACKET PELANGGAN SPIRAL</t>
  </si>
  <si>
    <t>J-CLAMP HOOK/BRACKET PELANGGAN SPIRAL</t>
  </si>
  <si>
    <t>AKSESORIS TIANG BESI TRIMBEL</t>
  </si>
  <si>
    <t>M-TRIMBEL</t>
  </si>
  <si>
    <t>J-TRIMBEL</t>
  </si>
  <si>
    <t>SPAN WARTEL DAN BULDOG GRIP 3/8"</t>
  </si>
  <si>
    <t>M-SW-BG-3/8"</t>
  </si>
  <si>
    <t>J-SW-BG-3/8"</t>
  </si>
  <si>
    <t>SPAN WARTEL DAN BULDOG GRIP 5/8"</t>
  </si>
  <si>
    <t>M-SW-BG-5/8"</t>
  </si>
  <si>
    <t>J-SW-BG-5/8"</t>
  </si>
  <si>
    <t>PIPA GUIDE DIA 2”</t>
  </si>
  <si>
    <t>M-PG-2</t>
  </si>
  <si>
    <t>RING GUIDE TIANG</t>
  </si>
  <si>
    <t>M-G-RING</t>
  </si>
  <si>
    <t>END CAP UKURAN 4-10</t>
  </si>
  <si>
    <t>M-EC-4-10</t>
  </si>
  <si>
    <t>J-EC-4-10</t>
  </si>
  <si>
    <t>PENGADAAN DAN PEMASANGAN PIPE PROTECTOR OUTDOOR CABLE ( PVC BLACK) HIGH IMPACT CONDUIT 20 MM</t>
  </si>
  <si>
    <t>M-PP-OF-OUT</t>
  </si>
  <si>
    <t>J-PP-OF-OUT</t>
  </si>
  <si>
    <t>M-UTP-6</t>
  </si>
  <si>
    <t>J-UTP-6</t>
  </si>
  <si>
    <t>PENGADAAN CONNECTOR RJ45 CAT6</t>
  </si>
  <si>
    <t>M-RJ45-CAT6</t>
  </si>
  <si>
    <t>TRAY CABLE MAKSIMAL 10 X 5CM DI SISI OFFICE SESUAI SPACE RUANGAN</t>
  </si>
  <si>
    <t>M-TC-IN</t>
  </si>
  <si>
    <t>J-TC-IN</t>
  </si>
  <si>
    <t>PEKERJAAN PEMBUATAN HH PIT HOME ACCESS LENGKAP DENGAN PENUTUP UKURAN DIMENSI DALAM (PXLXT = 40 X 40 X 40 CM) BERTULANG COR BETON 1:2:3 BESERTA AKSESORISNYA</t>
  </si>
  <si>
    <t>M-HH-PIT-HA</t>
  </si>
  <si>
    <t>J-HH-PIT-HA</t>
  </si>
  <si>
    <t>PEKERJAAN PEMBUATAN HH PIT DP LENGKAP DENGAN PENUTUP UKURAN DIMENSI DALAM (PXLXT = 60 X 40 X 60 CM) BERTULANG COR BETON 1:2:3 BESERTA AKSESORISNYA</t>
  </si>
  <si>
    <t>M-HH-PIT-DP</t>
  </si>
  <si>
    <t>J-HH-PIT-DP</t>
  </si>
  <si>
    <t>PENGGANTIAN TUTUP MH (95cm x 95 cm) BETON</t>
  </si>
  <si>
    <t>M-TTP-MH</t>
  </si>
  <si>
    <t>J-TTP-MH</t>
  </si>
  <si>
    <t>PENINGGIAN LEHER MH</t>
  </si>
  <si>
    <t>M-LHR-MH</t>
  </si>
  <si>
    <t>J-LHR-MH</t>
  </si>
  <si>
    <t>PENGGANTIAN TUTUP HH TYPE 1 TUTUP-3</t>
  </si>
  <si>
    <t>M-GT-J-HH1-TTP3</t>
  </si>
  <si>
    <t>J-GT-J-HH1-TTP3</t>
  </si>
  <si>
    <t>PENGGANTIAN TUTUP HH TYPE 2 TUTUP-2</t>
  </si>
  <si>
    <t>M-GT-J-HH2-TTP2</t>
  </si>
  <si>
    <t>J-GT-J-HH2-TTP2</t>
  </si>
  <si>
    <t>PENGGANTIAN KUNCI NODE UKURAN 70MM</t>
  </si>
  <si>
    <t>M-NE-KEY</t>
  </si>
  <si>
    <t>J-NE-KEY</t>
  </si>
  <si>
    <t>PEMASANGAN SABUK (70MM X 3MM)</t>
  </si>
  <si>
    <t>M-ODC-BELT</t>
  </si>
  <si>
    <t>J-ODC-BELT</t>
  </si>
  <si>
    <t>PENGECATAN ULANG KABINET ATAU ODC DAN LABELING</t>
  </si>
  <si>
    <t>M-ODC-CATKABIJ-NET</t>
  </si>
  <si>
    <t>J-ODC-CATKABIJ-NET</t>
  </si>
  <si>
    <t>PENGECATAN DUDUKAN KABINET</t>
  </si>
  <si>
    <t>M-ODC-CATDDKKAB</t>
  </si>
  <si>
    <t>J-ODC-CATDDKKAB</t>
  </si>
  <si>
    <t>PENGADAAN DAN PEMASANGAN RISER PIPE UNTUK PENGAMAN KABEL OPTIK KE ODC POLE / TITIK NAIK KU DIAMATER 3 INCH PANJANG 3 METER</t>
  </si>
  <si>
    <t>M-ODC-P-3-IN</t>
  </si>
  <si>
    <t>J-ODC-P-3-IN</t>
  </si>
  <si>
    <t>PENGADAAN DAN PEMASANGAN RISER PIPE UNTUK PENGAMAN KABEL OPTIK KE ODC POLE / TITIK NAIK KU DIAMATER 4 INCH PANJANG 3 METER</t>
  </si>
  <si>
    <t>M-ODC-P-4-IN</t>
  </si>
  <si>
    <t>J-ODC-P-4-IN</t>
  </si>
  <si>
    <t>PENGADAAN/PENGGANTIAN ADAPTER SC PADA ODC DAN ODP BAHAN PLASTIK</t>
  </si>
  <si>
    <t>M-ODC-ODP-ADAPT-STDR</t>
  </si>
  <si>
    <t>J-ODC-ODP-ADAPT-STDR</t>
  </si>
  <si>
    <t>PENGGANTIAN KUNCI ODP</t>
  </si>
  <si>
    <t>M-ODP-KEY</t>
  </si>
  <si>
    <t>J-ODP-KEY</t>
  </si>
  <si>
    <t>PENGADAAN DAN PEMASANGAN SABUK ODP</t>
  </si>
  <si>
    <t>M-ODP-SBK</t>
  </si>
  <si>
    <t>J-ODP-SBK</t>
  </si>
  <si>
    <t>PENGADAAN DAN PEMASANGAN ODP TYPE SOLID KAP 8 CORE ADAPTOR SC/UPC TERDIRI DARI 1 BOX SPLITER (TERMASUK 1 SPLITER 1:8), 1 BOX DUMMY BESERTA ACCESSORIES, BERIKUT PELABELAN DAN PENEMPELAN QR CODE (DISEDIAKAN OLEH TELKOM)</t>
  </si>
  <si>
    <t>M-ODP-SOLID-PB-8</t>
  </si>
  <si>
    <t>J-ODP-SOLID-PB-8</t>
  </si>
  <si>
    <t>PENGADAAN DAN PEMASANGAN ODP TYPE SOLID KAP 16 CORE ADAPTOR SC/UPC TERDIRI DARI 2 BOX SPLITER (TERMASUK 2 SPLITER 1:8) BESERTA ACCESSORIES, BERIKUT PELABELANDAN PENEMPELAN QR CODE (DISEDIAKAN OLEH TELKOM)</t>
  </si>
  <si>
    <t>M-ODP-SOLID-PB-16</t>
  </si>
  <si>
    <t>J-ODP-SOLID-PB-16</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</si>
  <si>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</si>
  <si>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M-ODP Solid-PB-8 AS</t>
  </si>
  <si>
    <t>J-ODP Solid-PB-8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</si>
  <si>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</si>
  <si>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M-ODP Solid-PB-16 AS</t>
  </si>
  <si>
    <t>J-ODP Solid-PB-16 AS</t>
  </si>
  <si>
    <t>PASANG PELINDUNG LAYANG-LAYANG</t>
  </si>
  <si>
    <t>Rute</t>
  </si>
  <si>
    <t>M-DC-PROTEC</t>
  </si>
  <si>
    <t>J-DC-PROTEC</t>
  </si>
  <si>
    <t>PEMASANGAN DUSH CAP</t>
  </si>
  <si>
    <t>M-NE-MS-DUST</t>
  </si>
  <si>
    <t>J-NE-MS-DUST</t>
  </si>
  <si>
    <t>PENGADAAN DAN PEMASANGAN UNTUK PENGGANTIAN BATERAI 100 AH (TYPE VRLA)</t>
  </si>
  <si>
    <t>M-NE-MS-REPL-BATT100</t>
  </si>
  <si>
    <t>J-NE-MS-REPL-BATT100</t>
  </si>
  <si>
    <t>PENGADAAN DAN PEMASANGAN UNTUK PENGGANTIAN BATERAI 60 AH (TYPE VRLA)</t>
  </si>
  <si>
    <t>M-NE-MS-REPL-BATT60</t>
  </si>
  <si>
    <t>J-NE-MS-REPL-BATT60</t>
  </si>
  <si>
    <t>PENGADAAN DAN PEMASANGAN UNTUK PENGGANTIAN BATERAI 45 AH (TYPE VRLA)</t>
  </si>
  <si>
    <t>M-NE-MS-REPL-BATT-45</t>
  </si>
  <si>
    <t>J-NE-MS-REPL-BATT-45</t>
  </si>
  <si>
    <t>PEKERJAAN MENYAMBUNGKAN KABEL OPTIK OUTDOOR KE INDOOR) PENGADAAN DAN PEMASANGAN PIGTAIL (SC/FC)</t>
  </si>
  <si>
    <t>M-PIGTAIL</t>
  </si>
  <si>
    <t>J-PIGTAIL</t>
  </si>
  <si>
    <t>WIRE MESH CABLE TRAY 40 X 10 CM, DENGAN SUPPORTING MATERIAL</t>
  </si>
  <si>
    <t>M-TRAY-MESH-4</t>
  </si>
  <si>
    <t>J-TRAY-MESH-4</t>
  </si>
  <si>
    <t>PENGADAAN DAN PEMASANGAN KABEL DUCT FIBER OPTIK SINGLE MODE 144 CORE G 655 C</t>
  </si>
  <si>
    <t>M-DC-OF-SJ-655C</t>
  </si>
  <si>
    <t>J-DC-OF-SJ-655C</t>
  </si>
  <si>
    <t>PENGADAAN DAN PEMASANGAN POLE STRAP RING</t>
  </si>
  <si>
    <t>M-PL-RING</t>
  </si>
  <si>
    <t>J-PL-RING</t>
  </si>
  <si>
    <t>PENGADAAN DAN PEMASANGAN POLE STRAP TYPE J</t>
  </si>
  <si>
    <t>M-PL-TYPE-J</t>
  </si>
  <si>
    <t>J-PL-TYPE-J</t>
  </si>
  <si>
    <t>PENGADAAN DAN PEMASANGAN CASSETTE FO BASED TRAY FOR ODC 144/288 CORE PER 12 FIBER TERMASUK ADAPTOR TANPA PIGTAIL</t>
  </si>
  <si>
    <t>M-CASSETTE-FO</t>
  </si>
  <si>
    <t>J-CASSETTE-FO</t>
  </si>
  <si>
    <t>PENGADAAN DAN PEMASANGAN CASSETTE SPLITTER (ODP CA-8)</t>
  </si>
  <si>
    <t>M-CASSETTE-SPLITTER</t>
  </si>
  <si>
    <t>A. PENGADAAN KABEL LISTRIK NYY 3*2,5MM DARI ACPDB/DCPDB BOX KE MCB BOX 
  B. PENGADAAN NYY 3*2,5MM DARI MCB BOX MENUJU SOCKET POWER UNTUK RACK SERVER
  C. PENGADAAN NYY 3*2,5MM DARI MCB BOX MENUJU MESIN EDC JIKA DIBUTUHKAN</t>
  </si>
  <si>
    <t>M-NYY- 3 X 2.5MM</t>
  </si>
  <si>
    <t>J-NYY- 3 X 2.5MM</t>
  </si>
  <si>
    <t>TRAY CABLE FO CORD BUNDLED OUTDOOR 30X10 CM LENGKAP DENGAN PENGUAT</t>
  </si>
  <si>
    <t>M-TRAY-BUNDLED-OUT-30</t>
  </si>
  <si>
    <t>J-TRAY-BUNDLED-OUT-30</t>
  </si>
  <si>
    <t>TRAY CABLE FEEDER OUTDOOR 30X10 CM LENGKAP DENGAN PENGUAT</t>
  </si>
  <si>
    <t>M-TRAY-FEEDER-30</t>
  </si>
  <si>
    <t>J-TRAY-FEEDER-30</t>
  </si>
  <si>
    <t>WIRE MESH CABLE TRAY 20 X 10 CM, DENGAN SUPPORTING MATERIAL</t>
  </si>
  <si>
    <t>M-TRAY-MESH-2</t>
  </si>
  <si>
    <t>J-TRAY-MESH-2</t>
  </si>
  <si>
    <t>WIRE MESH CABLE TRAY 30 X 10 CM, DENGAN SUPPORTING MATERIAL</t>
  </si>
  <si>
    <t>M-TRAY-MESH-3</t>
  </si>
  <si>
    <t>J-TRAY-MESH-3</t>
  </si>
  <si>
    <t>VERTICAL SUPPORT STRUCTURE ROD (2M) MAKSIMAL SEPASANG (KIRI-KANAN), DENGAN KIT INSTALASI (TIAP 90CM)</t>
  </si>
  <si>
    <t>Set</t>
  </si>
  <si>
    <t>M-VSS-90-2</t>
  </si>
  <si>
    <t>J-VSS-90-2</t>
  </si>
  <si>
    <t>PENGADAAN DAN PEMASANGAN PONDASI UNTUK KABINET OUTDOOR BESAR, SIDE WALK DAN PATOK PENGAMAN MENGACU PPJT JARLOKAT DAN SISTEM GROUNDING UNTUK PERANGKAT DAN SEALED MATERIAL (MAX. 1 OHM)</t>
  </si>
  <si>
    <t>M-PONDASI-TYPE-D500</t>
  </si>
  <si>
    <t>J-PONDASI-TYPE-D500</t>
  </si>
  <si>
    <t>ADAPTER SPRING</t>
  </si>
  <si>
    <t>M-ADAPT-SPRING</t>
  </si>
  <si>
    <t>J-ADAPT-SPRING</t>
  </si>
  <si>
    <t>PENGADAAN DAN PEMASANGAN OPTICAL TERMINATION POINT 1 CORE</t>
  </si>
  <si>
    <t>M-OTP</t>
  </si>
  <si>
    <t>J-OTP</t>
  </si>
  <si>
    <t>PENGADAAN DAN PEMASANGAN AKSESORIS TIANG HOSE CLAMP</t>
  </si>
  <si>
    <t>M-H-CLAMP</t>
  </si>
  <si>
    <t>J-H-CLAMP</t>
  </si>
  <si>
    <t>Pengadaan dan Pemasangan Adaptor Splice On Connector (SOC)</t>
  </si>
  <si>
    <t>M-DC-SOC</t>
  </si>
  <si>
    <t>J-DC-SOC</t>
  </si>
  <si>
    <t>Pengadaaan dan Pemasangan Precon KSO Indoor Transparant Sudah Termasuk Roset</t>
  </si>
  <si>
    <t>M-PR-IN-RS</t>
  </si>
  <si>
    <t>J-PR-IN-RS</t>
  </si>
  <si>
    <t>PEMBONGKARAN DROP CORE</t>
  </si>
  <si>
    <t>J-BKR-DC</t>
  </si>
  <si>
    <t>REGEL DROP CORE</t>
  </si>
  <si>
    <t>J-RGL-DC</t>
  </si>
  <si>
    <t>PEMBONGKARAN RUMAH KABEL BERIKUT PATOK PENGAMAN</t>
  </si>
  <si>
    <t>J-BKR-RK</t>
  </si>
  <si>
    <t>PERBAIKAN PONDASI DAN KERAMIK YANG RUSAK DI RK</t>
  </si>
  <si>
    <t>J-P-PK-RK</t>
  </si>
  <si>
    <t>PEMBERSIHAN KABINET TERMASUK MODUL DAN PERKABELAN</t>
  </si>
  <si>
    <t>J-P-KB</t>
  </si>
  <si>
    <t>PEMBONGKARAN, PENGGESERAN DAN PEMASANGAN KEMBALI TIANG BESI 7 M DAN 9 M</t>
  </si>
  <si>
    <t>J-PB-TT-7/9</t>
  </si>
  <si>
    <t>MENEGAKKAN TIANG BESI MIRING RUTE LURUS (DW/KU)</t>
  </si>
  <si>
    <t>J-MTT-RL-7/9</t>
  </si>
  <si>
    <t>MENEGAKKAN TIANG BESI MIRING RUTE SUDUT (DW/KU)</t>
  </si>
  <si>
    <t>J-MTT-RS-7/9</t>
  </si>
  <si>
    <t>PEMASANGAN TEMBERANG TUNJANG</t>
  </si>
  <si>
    <t>J-PT-TUNJANG</t>
  </si>
  <si>
    <t>END CAP UKURAN 26-52</t>
  </si>
  <si>
    <t>M-EC-26-52</t>
  </si>
  <si>
    <t>J-EC-26-52</t>
  </si>
  <si>
    <t>PEMBERSIHAN MANHOLE H1/H2</t>
  </si>
  <si>
    <t>J-P-J-H1/H2</t>
  </si>
  <si>
    <t>PEMBERSIHAN MANHOLE H3/H4</t>
  </si>
  <si>
    <t>J-P-J-H3/H4</t>
  </si>
  <si>
    <t>PEMBERSIHAN HANHOLE TYPE 1 (120 cm x 100 cm x 160 cm)</t>
  </si>
  <si>
    <t>J-P-H-1</t>
  </si>
  <si>
    <t>PEMBERSIHAN HANHOLE TYPE 2 (180 cm x 100 cm x 160 cm )</t>
  </si>
  <si>
    <t>J-P-H-2</t>
  </si>
  <si>
    <t>PEREMAJAAN/UPDATE LAYOUT KABINET</t>
  </si>
  <si>
    <t>J-RK-LY</t>
  </si>
  <si>
    <t>PERBAIKAN PATOK BERIKUT CAT ULANG</t>
  </si>
  <si>
    <t>J-RK-PATOK</t>
  </si>
  <si>
    <t>PERBAIKAN BETON DUDUKAN KABINET</t>
  </si>
  <si>
    <t>J-RK-DUDUKKAB</t>
  </si>
  <si>
    <t>PEMELIHARAAN/PENGUKURAN GROUNDING RK/NODE</t>
  </si>
  <si>
    <t>J-RK-GRD</t>
  </si>
  <si>
    <t>MENGUKUR KOORDINAT NETWORK ELEMENT DAN MENYERAHKANNYA KE TELKOM</t>
  </si>
  <si>
    <t>J-NE-KOORD</t>
  </si>
  <si>
    <t>PEMELIHARAAN/PERAPIHAN/PEMBERSIHAN LUAR-DALAM</t>
  </si>
  <si>
    <t>J-DP-CLEAN</t>
  </si>
  <si>
    <t>PEMELIHARAAN &amp; PENGUKURAN GROUNDING</t>
  </si>
  <si>
    <t>J-DP-GRD</t>
  </si>
  <si>
    <t>PELABELAN</t>
  </si>
  <si>
    <t>J-DP-LAB</t>
  </si>
  <si>
    <t>PEMBONGKARAN DP IDLE</t>
  </si>
  <si>
    <t>J-DP-IDLE</t>
  </si>
  <si>
    <t>PENGALIHAN DP (KE TIANG YG LAIN)</t>
  </si>
  <si>
    <t>J-DP-MOVING</t>
  </si>
  <si>
    <t>PENGECATAN BRANDING TIANG WARNA MERAH SILVER</t>
  </si>
  <si>
    <t>J-DP-TIANG</t>
  </si>
  <si>
    <t>PEMBENAHAN SAMBUNGAN DW</t>
  </si>
  <si>
    <t>J-DW-JOINT</t>
  </si>
  <si>
    <t>J-FTM-LY</t>
  </si>
  <si>
    <t>PELABELAN CORE</t>
  </si>
  <si>
    <t>Core</t>
  </si>
  <si>
    <t>J-FTM-LAB</t>
  </si>
  <si>
    <t>PENGUKURAN CORE</t>
  </si>
  <si>
    <t>J-FTM-MSR-CORE</t>
  </si>
  <si>
    <t>PEMELIHARAAN/PENGUKURAN GROUNDING NODE</t>
  </si>
  <si>
    <t>J-FTM-GRD</t>
  </si>
  <si>
    <t>MELENGKAPI LOGBOOK NODE NETWORK ELEMENT</t>
  </si>
  <si>
    <t>J-NE-LOG</t>
  </si>
  <si>
    <t>PERAPIHAN PATCH CORE</t>
  </si>
  <si>
    <t>J-FTM-PC</t>
  </si>
  <si>
    <t>PEMBERSIHAN RAK FTM DAN TRAY CABLE</t>
  </si>
  <si>
    <t>J-FTM-CLEAN</t>
  </si>
  <si>
    <t>VALIDASI PORT FTM</t>
  </si>
  <si>
    <t>Port</t>
  </si>
  <si>
    <t>J-FTM-VA-PORT</t>
  </si>
  <si>
    <t>PEKERJAAN LABEL RACK DAN SUBRACK FTM (REVITALISASI)</t>
  </si>
  <si>
    <t>J-FTM-LABEL</t>
  </si>
  <si>
    <t>J-ODC-LY</t>
  </si>
  <si>
    <t>J-ODC-LAB</t>
  </si>
  <si>
    <t>J-ODC-MSR-CORE</t>
  </si>
  <si>
    <t>J-ODC-GRD</t>
  </si>
  <si>
    <t>PENGECEKAN DAN PEMELIHARAAN SPLITTER</t>
  </si>
  <si>
    <t>J-ODC-SPLT</t>
  </si>
  <si>
    <t>J-ODC-PC</t>
  </si>
  <si>
    <t>PENGGANTIAN ODC KONVENSIONAL DENGAN ODC SPLINTER</t>
  </si>
  <si>
    <t>J-ODC-REP</t>
  </si>
  <si>
    <t>VALIDASI PORT ODC</t>
  </si>
  <si>
    <t>J-ODC-VA-PORT</t>
  </si>
  <si>
    <t>PEMBONGKARAN ODC KAP 144-288 BERIKUT PATOK PENGAMAN</t>
  </si>
  <si>
    <t>J-ODC-PP</t>
  </si>
  <si>
    <t>PENGGESERAN ODC-POLE (OUTDOOR) KAP 48 CORE (PEMBONGKARAN DAN PEMASANGAN KEMBALI TANPA MERUBAH ATAU MENGGANTI ALPRO) tidak termasuk penyambungan kabel</t>
  </si>
  <si>
    <t>J-G-ODC-C-48</t>
  </si>
  <si>
    <t>PENGGESERAN KABINET ODC (OUTDOOR) KAP 144 CORE (PEMBONGKARAN DAN PEMASANGAN KEMBALI TANPA MERUBAH ATAU MENGGANTI ALPRO) tidak termasuk penyambungan kabel</t>
  </si>
  <si>
    <t>J-G-ODC-C-144</t>
  </si>
  <si>
    <t>PENGGESERAN KABINET ODC (OUTDOOR) KAP 288 CORE (PEMBONGKARAN DAN PEMASANGAN KEMBALI TANPA MERUBAH ATAU MENGGANTI ALPRO) tidak termasuk penyambungan kabel</t>
  </si>
  <si>
    <t>J-G-ODC-C-288</t>
  </si>
  <si>
    <t>PEMELIHARAAN/PERAPIHAN/PEMBERSIHAN/(CAT UTK DOME) LUAR-DALAM</t>
  </si>
  <si>
    <t>J-ODP-CLEAN</t>
  </si>
  <si>
    <t>J-ODP-GRD</t>
  </si>
  <si>
    <t>PELABELAN NAMA ODP</t>
  </si>
  <si>
    <t>J-ODP-LAB</t>
  </si>
  <si>
    <t>PERAPIHAN TERMINASI ODP</t>
  </si>
  <si>
    <t>J-ODP-TERM</t>
  </si>
  <si>
    <t>J-ODP-SPL</t>
  </si>
  <si>
    <t>J-ODP-TIANG</t>
  </si>
  <si>
    <t>RE-LABELING ODP</t>
  </si>
  <si>
    <t>J-ODP-LABEL</t>
  </si>
  <si>
    <t>VALIDASI PORT ODP</t>
  </si>
  <si>
    <t>J-ODP-VA-PORT</t>
  </si>
  <si>
    <t>PELABELAN DROP CORE DI PORT SPLITTER</t>
  </si>
  <si>
    <t>J-ODP-LBL-CORE</t>
  </si>
  <si>
    <t>PENGGESERAN ODP TYPE CLOSURE AERIAL KAP 8 CORE (TANPA MERUBAH ATAU MENGGANTI ALPRO)</t>
  </si>
  <si>
    <t>J-G-ODP-CA-8</t>
  </si>
  <si>
    <t>PENGGESERAN ODP TYPE CLOSURE AERIAL KAP 16 CORE (TANPA MERUBAH ATAU MENGGANTI ALPRO)</t>
  </si>
  <si>
    <t>J-G-ODP-CA-16</t>
  </si>
  <si>
    <t>PENGGESERAN ODP TYPE INDOOR/WALL KAP 8 CORE (TANPA MERUBAH ATAU MENGGANTI ALPRO)</t>
  </si>
  <si>
    <t>J-G-ODP-A-8</t>
  </si>
  <si>
    <t>PENGGESERAN ODP TYPE INDOOR/WALL KAP 16 CORE (TANPA MERUBAH ATAU MENGGANTI ALPRO)</t>
  </si>
  <si>
    <t>J-G-ODP-A-16</t>
  </si>
  <si>
    <t>PENGGESERAN ODP TYPE OUTDOOR/WALL DAN POLE KAP 8 CORE (TANPA MERUBAH ATAU MENGGANTI ALPRO)</t>
  </si>
  <si>
    <t>J-G-ODP-PB-8</t>
  </si>
  <si>
    <t>PENGGESERAN ODP TYPE OUTDOOR/WALL DAN POLE KAP 16 CORE (TANPA MERUBAH ATAU MENGGANTI ALPRO)</t>
  </si>
  <si>
    <t>J-G-ODP-PB-16</t>
  </si>
  <si>
    <t>PENGGESERAN ODP TYPE SOLID KAP 8 CORE (TANPA MERUBAH ATAU MENGGANTI ALPRO)</t>
  </si>
  <si>
    <t>J-G-ODP-SOLID-PB-8</t>
  </si>
  <si>
    <t>PENGGESERAN ODP TYPE SOLID KAP 16 CORE (TANPA MERUBAH ATAU MENGGANTI ALPRO)</t>
  </si>
  <si>
    <t>J-G-ODP-SOLID-PB-16</t>
  </si>
  <si>
    <t>PENGGESERAN ODP ( PILAR ) KAP 8 CORE TERMASUK PIGTAIL (PEMBONGKARAN DAN PEMASANGAN KEMBALI TANPA MERUBAH ATAU MENGGANTI ALPRO)</t>
  </si>
  <si>
    <t>J-G-ODP-PL-8</t>
  </si>
  <si>
    <t>PENGGESERAN ODP ( PILAR ) KAP 16 CORE TERMASUK PIGTAIL (PEMBONGKARAN DAN PEMASANGAN KEMBALI TANPA MERUBAH ATAU MENGGANTI ALPRO)</t>
  </si>
  <si>
    <t>J-G-ODP-PL-16</t>
  </si>
  <si>
    <t>PENYAMBUNGAN DROP CABLE FO SINGLE MODE KAP 1 CORE DENGAN CARA FUSION SPLICE TERMASUK HEAT-STRINK</t>
  </si>
  <si>
    <t>J-DC-SBG</t>
  </si>
  <si>
    <t>J-NE-MS-LAB</t>
  </si>
  <si>
    <t>J-NE-MS-GRD</t>
  </si>
  <si>
    <t>J-NE-MS-PC</t>
  </si>
  <si>
    <t>PENGUKURAN DAN PEMELIHARAAN RECTIFIER</t>
  </si>
  <si>
    <t>J-NE-MS-RECT</t>
  </si>
  <si>
    <t>PEMBERSIHAN DAN PENGECEKAN FAN/KIPAS</t>
  </si>
  <si>
    <t>J-NE-MS-FAN</t>
  </si>
  <si>
    <t>PENGECEKAN ALARM</t>
  </si>
  <si>
    <t>J-NE-MS-ALARM</t>
  </si>
  <si>
    <t>PENGECEKAN SUHU DAN KELEMBABAN KABINET</t>
  </si>
  <si>
    <t>J-NE-MS-TEMP</t>
  </si>
  <si>
    <t>PENGUKURAN DAN PEMELIHARAAN BATERAI</t>
  </si>
  <si>
    <t>Bank</t>
  </si>
  <si>
    <t>J-NE-MS-BATT</t>
  </si>
  <si>
    <t>PENGUKURAN CATU DAYA PLN DAN KWH METER SERTA VALIDASI TOKEN</t>
  </si>
  <si>
    <t>J-NE-MS-CD</t>
  </si>
  <si>
    <t>PENGIRIMAN DAN PENGAMBILAN MODULE PERANGKAT AKTIF YG RUSAK/TERGANGGU DARI WAREHOUSE KE LOKASI GANGGUAN DAN SEBALIKNYA TANPA MELAKSANAKAN KEGIATAN LOGIC</t>
  </si>
  <si>
    <t>J-NE-MS-MODDELV</t>
  </si>
  <si>
    <t>MEMBAWA,MENGHIDUPKAN DAN MANJAGA OPERASIONAL GENSET SAAT PLN MATI,DAN MEMBAWA KEMBALI GENSET SAAT PLN NORMAL DI KEMBALIKAN KE TEMPAT PENYIMPANAN SEMULA</t>
  </si>
  <si>
    <t>J-NE-MS-GENSET</t>
  </si>
  <si>
    <t>PEMASANGAN RECTIFIER NE AKSES EKSISTING</t>
  </si>
  <si>
    <t>J-NE-MS-RECT-REP</t>
  </si>
  <si>
    <t>PENGECEKAN DAN PENGUATAN BAUT DALAM PERANGKAT</t>
  </si>
  <si>
    <t>J-NE-MS-ISNT</t>
  </si>
  <si>
    <t>PEKERJAAN PEMBONGKARAN PERANGKAT AKTIF (MSAN, OAN, ONU, RDSLAM) BESERTA PATOK PENGAMAN DAN PERAPIHAN KEMBALI LOKASI BEKAS PEMBONGKARAN</t>
  </si>
  <si>
    <t>J-NE-MS-BKR</t>
  </si>
  <si>
    <t>DISMANTLING MDU DAN ASSESORIESNYA, CHECKLIST PENDATAAN, DAN REKONDISI EKS LOKASI BONGKARAN MDU</t>
  </si>
  <si>
    <t>Ls</t>
  </si>
  <si>
    <t>J-DISMANTLING-MDU</t>
  </si>
  <si>
    <t>PEKERJAAN PENCARIAN TITIK KABEL PUTUS PADA SAAT PERBAIKAN GANGGUAN MENGGUNAKAN ALAT TAMBAHAN RADIO DETECTOR</t>
  </si>
  <si>
    <t>J-FAL-LOC</t>
  </si>
  <si>
    <t>PEKERJAAN PENGAWASAN DAN PENGAMANAN UNTUK PROJECT PIHAK KETIGA (INSTALASI LAIN) YANG BERPOTENSI MEMBERIKAN DAMPAK GANGGUAN PADA ALPRO TELKOM</t>
  </si>
  <si>
    <t>Mandays</t>
  </si>
  <si>
    <t>J-WSM-PHK3</t>
  </si>
  <si>
    <t>PEMBONGKARAN ODP BESERTA ASESORISNYA DAN JASA PEMBAWAAN KE GUDANG TELKOM</t>
  </si>
  <si>
    <t>J-DIS-ODP</t>
  </si>
  <si>
    <t>J-RENT-IBT</t>
  </si>
  <si>
    <t>J-RENT-BMN</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</si>
  <si>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</si>
  <si>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M-PU-W7</t>
  </si>
  <si>
    <t>J-PU-W7</t>
  </si>
  <si>
    <t>M-AC-OF-SM-1-3SL-PSB</t>
  </si>
  <si>
    <t>M-ACPDB-Box-in</t>
  </si>
  <si>
    <t>M-ACPDB-Box-out</t>
  </si>
  <si>
    <t>M-Cable-Ties</t>
  </si>
  <si>
    <t>M-FTM-BC-8F-1</t>
  </si>
  <si>
    <t>M-FTM-BC-8F-10</t>
  </si>
  <si>
    <t>M-FTM-Connector-44</t>
  </si>
  <si>
    <t>M-FTM-Dinding</t>
  </si>
  <si>
    <t>M-FTM-Exit-4</t>
  </si>
  <si>
    <t>M-FTM-LABEL</t>
  </si>
  <si>
    <t>M-FTM-Lantai</t>
  </si>
  <si>
    <t>M-FTM-PC-Cover</t>
  </si>
  <si>
    <t>M-FTM-Plafon</t>
  </si>
  <si>
    <t>M-FTM-TF</t>
  </si>
  <si>
    <t>M-FTM-VR-90-Cover</t>
  </si>
  <si>
    <t>M-Klem Ring</t>
  </si>
  <si>
    <t>M-KWH-MTR</t>
  </si>
  <si>
    <t>M-LME-AP-Indoor</t>
  </si>
  <si>
    <t>M-PS-1-8-ODP</t>
  </si>
  <si>
    <t>M-Tali Tambang nilon</t>
  </si>
  <si>
    <t>M-TC-2</t>
  </si>
  <si>
    <t>M-Tray Cable TC-3</t>
  </si>
  <si>
    <t>J-AC-OF-SM-1-3SL-PSB</t>
  </si>
  <si>
    <t>J-ACPDB-Box-in</t>
  </si>
  <si>
    <t>J-ACPDB-Box-out</t>
  </si>
  <si>
    <t>J-CASSETTE-SPLITTER</t>
  </si>
  <si>
    <t>J-FTM-BC-8F-1</t>
  </si>
  <si>
    <t>J-FTM-BC-8F-10</t>
  </si>
  <si>
    <t>J-FTM-Connector-44</t>
  </si>
  <si>
    <t>J-FTM-Dinding</t>
  </si>
  <si>
    <t>J-FTM-Exit-4</t>
  </si>
  <si>
    <t>J-FTM-Lantai</t>
  </si>
  <si>
    <t>J-FTM-PC-Cover</t>
  </si>
  <si>
    <t>J-FTM-Plafon</t>
  </si>
  <si>
    <t>J-FTM-TF</t>
  </si>
  <si>
    <t>J-FTM-VR-90-Cover</t>
  </si>
  <si>
    <t>J-G-RING</t>
  </si>
  <si>
    <t>J-DC-AE-G657-1</t>
  </si>
  <si>
    <t>J-Add-On-STB</t>
  </si>
  <si>
    <t>J-Add-On-STB-A</t>
  </si>
  <si>
    <t>J-KWH-MTR</t>
  </si>
  <si>
    <t>J-LME-AP-Indoor</t>
  </si>
  <si>
    <t>J-PG-2</t>
  </si>
  <si>
    <t>J-PS-1-8-ODP</t>
  </si>
  <si>
    <t>J-RJ45-CAT6</t>
  </si>
  <si>
    <t>J-Survey PT2</t>
  </si>
  <si>
    <t>J-TC-2</t>
  </si>
  <si>
    <t>Box panel indoor (40x30x20)</t>
  </si>
  <si>
    <t>Box panel outdoor (40x60x20)</t>
  </si>
  <si>
    <t>Pengadaan dan Pemasangan Cable ties</t>
  </si>
  <si>
    <t>Meter</t>
  </si>
  <si>
    <t>Tambahan panjang cord bundled cable 8F</t>
  </si>
  <si>
    <t>FO Cord Bundled cable 8F, dengan connector satu sisi SC/LC/FC (L=10m), dan splicing di sisi lainnya</t>
  </si>
  <si>
    <t>Connector 4x4"</t>
  </si>
  <si>
    <t>piece</t>
  </si>
  <si>
    <t>Pembobokan Dinding untuk Jalur Kabel &amp; Perbaikan Kembali</t>
  </si>
  <si>
    <t>4" Express exit</t>
  </si>
  <si>
    <t>Pembobokan Lantai untuk Jalur Kabel &amp; Perbaikan Kembali</t>
  </si>
  <si>
    <t>Pemasangan jalur Patchcord 4x12" lengkap cover</t>
  </si>
  <si>
    <t>Pembobokan Plafon untuk Jalur Kabel &amp; Perbaikan Kembali</t>
  </si>
  <si>
    <t>Trumpet flare dan kit (4x4")</t>
  </si>
  <si>
    <t>Vertical raise 90 dan cover (4x4")</t>
  </si>
  <si>
    <t>Jasa Pemasangan DROP CABLE FO atas tanah/Aerial, 1 Core Single Mode G.657 hasil refurbish</t>
  </si>
  <si>
    <t>Melaksanakan pekerjaan add-on STB di dalamnya termasuk pekerjaan pengambilan STB ke Gudang OLO, Delivery STB ke Pelanggan, dan Instalasi STB di Pelanggan</t>
  </si>
  <si>
    <t>Jasa Add-On STB-A</t>
  </si>
  <si>
    <t>PENGADAAN KLEM RING</t>
  </si>
  <si>
    <t>Panel KWH meter 1 phase</t>
  </si>
  <si>
    <t>Pemasangan Access Point terdiri dari :AP logical Setting, UTPcat6 (1 AP=10 m), RJ45 cat6 (4 pieces per AP) , Klem cable, Power Cable NYM(1 AP=1.5 m; power outlet 1 piece), Tray Cable (PVC cable duct) , Labelling &amp; Sticker</t>
  </si>
  <si>
    <t>paket</t>
  </si>
  <si>
    <t>Pengadaan dan pemasangan Passive Splitter 1:8, type modular SC/UPC, for ODP, termasuk pigtail</t>
  </si>
  <si>
    <t>Checking Availability core di ODP eksisting</t>
  </si>
  <si>
    <t>Pengadaan dan Pemasangan Tali Tambang Nilon</t>
  </si>
  <si>
    <t>Tray Cable TC-2</t>
  </si>
  <si>
    <t>PENGADAAN TRAY CABLE FO CORD BUNDLED OUTDOOR 30X10 CM LENGKAP DENGAN PENGUAT</t>
  </si>
  <si>
    <t>Material kabel UTP CAT 6</t>
  </si>
  <si>
    <t>AMANDEMEN KETIGA TERHADAP KONTRAK HARGA SATUAN PEMASANGAN SAMBUNGAN BARU (PSB) &amp; PENGADAAN DAN PEMASANGAN OUTSIDE PLANT FIBER OPTIK (OSP FO)</t>
  </si>
  <si>
    <t>Biaya-biaya yang timbul dalam rangka untuk perijinan dan kompensasi pekerjaan (At Cost +5%)</t>
  </si>
  <si>
    <t>Biaya-biaya yang timbul dalam rangka sewa lahan untuk penempatan Alpro Telkom di lahan milik negara (At Cost +5%)</t>
  </si>
  <si>
    <t>Biaya-biaya yang timbul dalam rangka sewa lahan untuk penempatan Alpro Telkom di polongan atau lahan pihak ketiga (At Cost +5%)</t>
  </si>
  <si>
    <t>HARGA SATUAN (PAKET-5)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</si>
</sst>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 ;&quot; (&quot;#,##0\);&quot; -&quot;#\ ;@\ "/>
    <numFmt numFmtId="166" formatCode="#,##0.00\ ;&quot; (&quot;#,##0.00\);&quot; -&quot;#\ ;@\ "/>
    <numFmt numFmtId="167" formatCode="_-* #,##0.00_-;\-* #,##0.00_-;_-* &quot;-&quot;??_-;_-@_-"/>
    <numFmt numFmtId="168" formatCode="_(* #,##0.0000_);_(* \(#,##0.0000\);_(* &quot;-&quot;??_);_(@_)"/>
  </numFmts>
  <fonts count="2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sz val="11"/>
      <color theme="1"/>
      <name val="Arial Narrow"/>
      <family val="2"/>
    </font>
    <font>
      <b/>
      <sz val="12"/>
      <color rgb="FF000000"/>
      <name val="Calibri"/>
      <family val="2"/>
      <scheme val="minor"/>
    </font>
    <font>
      <sz val="10"/>
      <name val="Arial"/>
      <family val="2"/>
    </font>
    <font>
      <b/>
      <sz val="10"/>
      <color indexed="8"/>
      <name val="Calibri"/>
      <family val="2"/>
      <scheme val="minor"/>
    </font>
    <font>
      <sz val="10"/>
      <color indexed="8"/>
      <name val="Calibri"/>
      <family val="2"/>
      <scheme val="minor"/>
    </font>
    <font>
      <sz val="11"/>
      <color indexed="8"/>
      <name val="Calibri"/>
      <family val="2"/>
      <charset val="1"/>
    </font>
    <font>
      <b/>
      <sz val="10"/>
      <name val="Calibri"/>
      <family val="2"/>
      <scheme val="minor"/>
    </font>
    <font>
      <b/>
      <sz val="10"/>
      <color theme="1"/>
      <name val="Calibri"/>
      <family val="2"/>
      <scheme val="minor"/>
    </font>
    <font>
      <b/>
      <sz val="10"/>
      <color theme="0"/>
      <name val="Calibri"/>
      <family val="2"/>
      <scheme val="minor"/>
    </font>
    <font>
      <b/>
      <sz val="11"/>
      <color theme="1"/>
      <name val="Calibri"/>
      <family val="2"/>
      <scheme val="minor"/>
    </font>
    <font>
      <sz val="11"/>
      <name val="Arial Narrow"/>
      <family val="2"/>
    </font>
    <font>
      <sz val="11"/>
      <color theme="1"/>
      <name val="Calibri"/>
      <family val="2"/>
      <charset val="1"/>
      <scheme val="minor"/>
    </font>
    <font>
      <b/>
      <sz val="11"/>
      <color theme="0"/>
      <name val="Calibri"/>
      <family val="2"/>
      <scheme val="minor"/>
    </font>
    <font>
      <b/>
      <sz val="12"/>
      <color indexed="8"/>
      <name val="Calibri"/>
      <family val="2"/>
      <scheme val="minor"/>
    </font>
    <font>
      <sz val="12"/>
      <color theme="1"/>
      <name val="Arial Narrow"/>
      <family val="2"/>
    </font>
    <font>
      <sz val="10"/>
      <color indexed="8"/>
      <name val="Arial Narrow"/>
      <family val="2"/>
    </font>
    <font>
      <sz val="11"/>
      <color rgb="FF000000"/>
      <name val="Calibri"/>
      <family val="2"/>
    </font>
    <font>
      <sz val="11"/>
      <color theme="0"/>
      <name val="Arial Narrow"/>
      <family val="2"/>
    </font>
    <font>
      <sz val="11"/>
      <color theme="1"/>
      <name val="Calibri"/>
      <family val="2"/>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5" fillId="0" borderId="0"/>
    <xf numFmtId="0" fontId="8" fillId="0" borderId="0">
      <alignment vertical="top"/>
    </xf>
    <xf numFmtId="43" fontId="11"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167" fontId="3" fillId="0" borderId="0" applyFont="0" applyFill="0" applyBorder="0" applyAlignment="0" applyProtection="0"/>
    <xf numFmtId="41" fontId="8" fillId="0" borderId="0" applyFont="0" applyFill="0" applyBorder="0" applyAlignment="0" applyProtection="0"/>
    <xf numFmtId="0" fontId="8" fillId="0" borderId="0"/>
    <xf numFmtId="0" fontId="8" fillId="0" borderId="0"/>
    <xf numFmtId="0" fontId="17" fillId="0" borderId="0"/>
    <xf numFmtId="0" fontId="2" fillId="0" borderId="0"/>
    <xf numFmtId="43" fontId="3" fillId="0" borderId="0" applyFont="0" applyFill="0" applyBorder="0" applyAlignment="0" applyProtection="0"/>
    <xf numFmtId="41" fontId="3" fillId="0" borderId="0" applyFont="0" applyFill="0" applyBorder="0" applyAlignment="0" applyProtection="0"/>
  </cellStyleXfs>
  <cellXfs count="55">
    <xf numFmtId="0" fontId="0" fillId="0" borderId="0" xfId="0"/>
    <xf numFmtId="0" fontId="5" fillId="0" borderId="0" xfId="1"/>
    <xf numFmtId="164" fontId="5" fillId="0" borderId="0" xfId="1" applyNumberFormat="1" applyAlignment="1">
      <alignment horizontal="center" vertical="center"/>
    </xf>
    <xf numFmtId="0" fontId="6" fillId="0" borderId="0" xfId="1" applyFont="1"/>
    <xf numFmtId="0" fontId="7" fillId="0" borderId="0" xfId="0" applyFont="1" applyAlignment="1">
      <alignment horizontal="left" vertical="center" readingOrder="1"/>
    </xf>
    <xf numFmtId="3" fontId="9" fillId="0" borderId="0" xfId="2" applyNumberFormat="1" applyFont="1" applyAlignment="1">
      <alignment horizontal="left" vertical="center"/>
    </xf>
    <xf numFmtId="3" fontId="10" fillId="0" borderId="0" xfId="3" applyNumberFormat="1" applyFont="1" applyFill="1" applyBorder="1" applyAlignment="1">
      <alignment horizontal="center" vertical="top"/>
    </xf>
    <xf numFmtId="166" fontId="12" fillId="3" borderId="1" xfId="6" applyNumberFormat="1" applyFont="1" applyFill="1" applyBorder="1" applyAlignment="1" applyProtection="1">
      <alignment horizontal="center" vertical="center"/>
      <protection locked="0"/>
    </xf>
    <xf numFmtId="168" fontId="14" fillId="4" borderId="1" xfId="8" applyNumberFormat="1" applyFont="1" applyFill="1" applyBorder="1" applyAlignment="1" applyProtection="1">
      <alignment vertical="center"/>
      <protection locked="0"/>
    </xf>
    <xf numFmtId="168" fontId="14" fillId="4" borderId="1" xfId="8" applyNumberFormat="1" applyFont="1" applyFill="1" applyBorder="1" applyAlignment="1" applyProtection="1">
      <alignment vertical="top"/>
      <protection locked="0"/>
    </xf>
    <xf numFmtId="164" fontId="9" fillId="5" borderId="1" xfId="4" applyNumberFormat="1" applyFont="1" applyFill="1" applyBorder="1" applyAlignment="1" applyProtection="1">
      <alignment horizontal="center" vertical="center"/>
      <protection locked="0"/>
    </xf>
    <xf numFmtId="0" fontId="6" fillId="5" borderId="1" xfId="1" applyFont="1" applyFill="1" applyBorder="1"/>
    <xf numFmtId="164" fontId="5" fillId="0" borderId="1" xfId="1" applyNumberFormat="1" applyBorder="1" applyAlignment="1">
      <alignment horizontal="center" vertical="center"/>
    </xf>
    <xf numFmtId="3" fontId="15" fillId="0" borderId="1" xfId="10" applyNumberFormat="1" applyFont="1" applyBorder="1" applyAlignment="1" applyProtection="1">
      <alignment horizontal="center" vertical="center" wrapText="1"/>
      <protection locked="0"/>
    </xf>
    <xf numFmtId="0" fontId="6" fillId="0" borderId="1" xfId="1" applyFont="1" applyBorder="1"/>
    <xf numFmtId="0" fontId="6" fillId="0" borderId="1" xfId="1" applyFont="1" applyBorder="1" applyAlignment="1">
      <alignment vertical="center"/>
    </xf>
    <xf numFmtId="0" fontId="16" fillId="0" borderId="0" xfId="1" applyFont="1" applyAlignment="1">
      <alignment vertical="center"/>
    </xf>
    <xf numFmtId="0" fontId="6" fillId="6" borderId="1" xfId="1" applyFont="1" applyFill="1" applyBorder="1"/>
    <xf numFmtId="0" fontId="6" fillId="6" borderId="0" xfId="1" applyFont="1" applyFill="1"/>
    <xf numFmtId="0" fontId="16" fillId="6" borderId="0" xfId="1" applyFont="1" applyFill="1" applyAlignment="1">
      <alignment vertical="center"/>
    </xf>
    <xf numFmtId="0" fontId="16" fillId="0" borderId="0" xfId="1" applyFont="1"/>
    <xf numFmtId="3" fontId="19" fillId="7" borderId="1" xfId="10" applyNumberFormat="1" applyFont="1" applyFill="1" applyBorder="1" applyAlignment="1" applyProtection="1">
      <alignment vertical="center" wrapText="1"/>
      <protection locked="0"/>
    </xf>
    <xf numFmtId="164" fontId="4" fillId="7" borderId="1" xfId="1" applyNumberFormat="1" applyFont="1" applyFill="1" applyBorder="1" applyAlignment="1">
      <alignment horizontal="center" vertical="center"/>
    </xf>
    <xf numFmtId="0" fontId="20" fillId="7" borderId="1" xfId="1" applyFont="1" applyFill="1" applyBorder="1" applyAlignment="1">
      <alignment horizontal="center" vertical="center"/>
    </xf>
    <xf numFmtId="3" fontId="21" fillId="0" borderId="0" xfId="12" applyNumberFormat="1" applyFont="1"/>
    <xf numFmtId="3" fontId="21" fillId="0" borderId="0" xfId="12" applyNumberFormat="1" applyFont="1" applyAlignment="1">
      <alignment horizontal="center"/>
    </xf>
    <xf numFmtId="164" fontId="6" fillId="0" borderId="0" xfId="1" applyNumberFormat="1" applyFont="1"/>
    <xf numFmtId="0" fontId="15" fillId="0" borderId="0" xfId="1" applyFont="1"/>
    <xf numFmtId="164" fontId="6" fillId="0" borderId="0" xfId="1" applyNumberFormat="1" applyFont="1" applyAlignment="1">
      <alignment horizontal="center" vertical="center"/>
    </xf>
    <xf numFmtId="168" fontId="18" fillId="4" borderId="1" xfId="14" applyNumberFormat="1" applyFont="1" applyFill="1" applyBorder="1" applyAlignment="1" applyProtection="1">
      <alignment horizontal="center" vertical="top" wrapText="1"/>
      <protection locked="0"/>
    </xf>
    <xf numFmtId="0" fontId="4" fillId="0" borderId="0" xfId="1" applyFont="1"/>
    <xf numFmtId="0" fontId="1" fillId="0" borderId="0" xfId="1" applyFont="1"/>
    <xf numFmtId="0" fontId="23" fillId="0" borderId="0" xfId="1" applyFont="1" applyAlignment="1">
      <alignment horizontal="center" vertical="center"/>
    </xf>
    <xf numFmtId="0" fontId="23" fillId="0" borderId="0" xfId="1" applyFont="1" applyAlignment="1">
      <alignment vertical="center"/>
    </xf>
    <xf numFmtId="0" fontId="23" fillId="0" borderId="0" xfId="1" applyFont="1"/>
    <xf numFmtId="3" fontId="19" fillId="7" borderId="1" xfId="10" applyNumberFormat="1" applyFont="1" applyFill="1" applyBorder="1" applyAlignment="1" applyProtection="1">
      <alignment horizontal="center" vertical="center" wrapText="1"/>
      <protection locked="0"/>
    </xf>
    <xf numFmtId="164" fontId="9" fillId="2" borderId="1" xfId="4" applyNumberFormat="1" applyFont="1" applyFill="1" applyBorder="1" applyAlignment="1" applyProtection="1">
      <alignment horizontal="center" vertical="center"/>
      <protection locked="0"/>
    </xf>
    <xf numFmtId="0" fontId="24" fillId="0" borderId="1" xfId="0" applyFont="1" applyBorder="1" applyAlignment="1">
      <alignment horizontal="center" vertical="center"/>
    </xf>
    <xf numFmtId="0" fontId="24" fillId="0" borderId="1" xfId="0" applyFont="1" applyBorder="1" applyAlignment="1">
      <alignment vertical="center" wrapText="1"/>
    </xf>
    <xf numFmtId="41" fontId="24" fillId="0" borderId="1" xfId="15" applyFont="1" applyBorder="1" applyAlignment="1">
      <alignment vertical="center"/>
    </xf>
    <xf numFmtId="0" fontId="24" fillId="0" borderId="1" xfId="0" applyFont="1" applyBorder="1" applyAlignment="1">
      <alignment horizontal="center" vertical="center" wrapText="1"/>
    </xf>
    <xf numFmtId="41" fontId="22" fillId="0" borderId="1" xfId="15" applyFont="1" applyBorder="1" applyAlignment="1">
      <alignment vertical="center"/>
    </xf>
    <xf numFmtId="41" fontId="24" fillId="0" borderId="1" xfId="15" applyFont="1" applyBorder="1" applyAlignment="1">
      <alignment horizontal="center" vertical="center"/>
    </xf>
    <xf numFmtId="0" fontId="5" fillId="0" borderId="0" xfId="1" applyAlignment="1">
      <alignment horizontal="center"/>
    </xf>
    <xf numFmtId="164" fontId="5" fillId="0" borderId="0" xfId="1" applyNumberFormat="1" applyAlignment="1">
      <alignment horizontal="center"/>
    </xf>
    <xf numFmtId="0" fontId="6" fillId="0" borderId="0" xfId="1" applyFont="1" applyAlignment="1">
      <alignment horizontal="center"/>
    </xf>
    <xf numFmtId="164" fontId="6" fillId="0" borderId="0" xfId="1" applyNumberFormat="1" applyFont="1" applyAlignment="1">
      <alignment horizontal="center"/>
    </xf>
    <xf numFmtId="3" fontId="19" fillId="7" borderId="1" xfId="10" applyNumberFormat="1" applyFont="1" applyFill="1" applyBorder="1" applyAlignment="1" applyProtection="1">
      <alignment horizontal="center" vertical="center" wrapText="1"/>
      <protection locked="0"/>
    </xf>
    <xf numFmtId="164" fontId="4" fillId="7" borderId="1" xfId="1" applyNumberFormat="1" applyFont="1" applyFill="1" applyBorder="1" applyAlignment="1">
      <alignment horizontal="center" vertical="center"/>
    </xf>
    <xf numFmtId="0" fontId="13" fillId="3" borderId="1" xfId="7" applyFont="1" applyFill="1" applyBorder="1" applyAlignment="1">
      <alignment horizontal="center" vertical="center"/>
    </xf>
    <xf numFmtId="166" fontId="12" fillId="3" borderId="1" xfId="6" applyNumberFormat="1" applyFont="1" applyFill="1" applyBorder="1" applyAlignment="1" applyProtection="1">
      <alignment horizontal="center" vertical="center"/>
      <protection locked="0"/>
    </xf>
    <xf numFmtId="165" fontId="12" fillId="3" borderId="1" xfId="5" applyNumberFormat="1" applyFont="1" applyFill="1" applyBorder="1" applyAlignment="1">
      <alignment horizontal="center" vertical="center"/>
    </xf>
    <xf numFmtId="3" fontId="9" fillId="2" borderId="1" xfId="4" applyNumberFormat="1" applyFont="1" applyFill="1" applyBorder="1" applyAlignment="1" applyProtection="1">
      <alignment horizontal="center" vertical="center" wrapText="1"/>
      <protection locked="0"/>
    </xf>
    <xf numFmtId="3" fontId="9" fillId="2" borderId="1" xfId="4" applyNumberFormat="1" applyFont="1" applyFill="1" applyBorder="1" applyAlignment="1" applyProtection="1">
      <alignment horizontal="center" vertical="center"/>
      <protection locked="0"/>
    </xf>
    <xf numFmtId="164" fontId="9" fillId="2" borderId="1" xfId="4" applyNumberFormat="1" applyFont="1" applyFill="1" applyBorder="1" applyAlignment="1" applyProtection="1">
      <alignment horizontal="center" vertical="center"/>
      <protection locked="0"/>
    </xf>
  </cellXfs>
  <cellStyles count="16">
    <cellStyle name="0,0_x000a__x000a_NA_x000a__x000a_ 2 2" xfId="4" xr:uid="{00000000-0005-0000-0000-000000000000}"/>
    <cellStyle name="0,0_x000a__x000a_NA_x000a__x000a_ 4" xfId="11" xr:uid="{00000000-0005-0000-0000-000001000000}"/>
    <cellStyle name="Comma" xfId="14" builtinId="3"/>
    <cellStyle name="Comma [0]" xfId="15" builtinId="6"/>
    <cellStyle name="Comma [0] 14 2" xfId="9" xr:uid="{00000000-0005-0000-0000-000003000000}"/>
    <cellStyle name="Comma 2" xfId="3" xr:uid="{00000000-0005-0000-0000-000004000000}"/>
    <cellStyle name="Comma 41" xfId="5" xr:uid="{00000000-0005-0000-0000-000005000000}"/>
    <cellStyle name="Comma 5 2" xfId="6" xr:uid="{00000000-0005-0000-0000-000006000000}"/>
    <cellStyle name="Comma 9" xfId="8" xr:uid="{00000000-0005-0000-0000-000007000000}"/>
    <cellStyle name="Normal" xfId="0" builtinId="0"/>
    <cellStyle name="Normal 2 2" xfId="12" xr:uid="{00000000-0005-0000-0000-000009000000}"/>
    <cellStyle name="Normal 2 2 3" xfId="7" xr:uid="{00000000-0005-0000-0000-00000A000000}"/>
    <cellStyle name="Normal 3" xfId="1" xr:uid="{00000000-0005-0000-0000-00000B000000}"/>
    <cellStyle name="Normal 3 5" xfId="13" xr:uid="{00000000-0005-0000-0000-00000C000000}"/>
    <cellStyle name="Normal_Rev_Penarikan Fo 12_DRC Tiki JNE_Slp-Capex" xfId="2" xr:uid="{00000000-0005-0000-0000-00000F000000}"/>
    <cellStyle name="Normal_Sheet1" xfId="10" xr:uid="{00000000-0005-0000-0000-000010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36"/>
  <sheetViews>
    <sheetView tabSelected="1" zoomScale="70" zoomScaleNormal="70" zoomScaleSheetLayoutView="25" workbookViewId="0">
      <pane xSplit="6" ySplit="8" topLeftCell="G9" activePane="bottomRight" state="frozen"/>
      <selection pane="topRight" activeCell="G1" sqref="G1"/>
      <selection pane="bottomLeft" activeCell="A9" sqref="A9"/>
      <selection pane="bottomRight" activeCell="G9" sqref="G9"/>
    </sheetView>
  </sheetViews>
  <sheetFormatPr defaultColWidth="10.5" defaultRowHeight="14" x14ac:dyDescent="0.3"/>
  <cols>
    <col min="1" max="1" width="5.5" style="24" customWidth="1"/>
    <col min="2" max="2" width="22.6640625" style="24" customWidth="1"/>
    <col min="3" max="3" width="52.6640625" style="24" customWidth="1"/>
    <col min="4" max="4" width="10.1640625" style="25" customWidth="1"/>
    <col min="5" max="5" width="14.1640625" style="45" customWidth="1"/>
    <col min="6" max="6" width="14.6640625" style="46" customWidth="1"/>
    <col min="7" max="7" width="14.6640625" style="28" customWidth="1"/>
    <col min="8" max="8" width="13.5" style="3" customWidth="1"/>
    <col min="9" max="9" width="12.6640625" style="3" bestFit="1" customWidth="1"/>
    <col min="10" max="10" width="13.5" style="3" customWidth="1"/>
    <col min="11" max="11" width="24.1640625" style="3" bestFit="1" customWidth="1"/>
    <col min="12" max="12" width="12.4140625" style="32" customWidth="1"/>
    <col min="13" max="13" width="10.5" style="33"/>
    <col min="14" max="24" width="10.5" style="34"/>
    <col min="25" max="16256" width="10.5" style="3"/>
    <col min="16257" max="16384" width="3.6640625" style="3" customWidth="1"/>
  </cols>
  <sheetData>
    <row r="1" spans="1:12" ht="15.5" x14ac:dyDescent="0.35">
      <c r="A1" s="30" t="s">
        <v>88</v>
      </c>
      <c r="B1" s="31"/>
      <c r="C1"/>
      <c r="D1" s="1"/>
      <c r="E1" s="43"/>
      <c r="F1" s="44"/>
      <c r="G1" s="2"/>
    </row>
    <row r="2" spans="1:12" ht="15.5" x14ac:dyDescent="0.35">
      <c r="A2" s="30" t="s">
        <v>1176</v>
      </c>
      <c r="B2" s="31"/>
      <c r="C2"/>
      <c r="D2" s="1"/>
      <c r="E2" s="43"/>
      <c r="F2" s="44"/>
      <c r="G2" s="2"/>
    </row>
    <row r="3" spans="1:12" ht="15.5" x14ac:dyDescent="0.35">
      <c r="A3" s="4" t="s">
        <v>89</v>
      </c>
      <c r="B3" s="4"/>
      <c r="C3" s="4"/>
      <c r="D3" s="1"/>
      <c r="E3" s="43"/>
      <c r="F3" s="44"/>
      <c r="G3" s="2"/>
    </row>
    <row r="4" spans="1:12" ht="15.5" x14ac:dyDescent="0.35">
      <c r="A4" s="4" t="s">
        <v>90</v>
      </c>
      <c r="B4" s="4"/>
      <c r="C4" s="5"/>
      <c r="D4" s="1"/>
      <c r="E4" s="43"/>
      <c r="F4" s="44"/>
      <c r="G4" s="2"/>
    </row>
    <row r="5" spans="1:12" ht="15.65" customHeight="1" x14ac:dyDescent="0.35">
      <c r="D5" s="6"/>
      <c r="E5" s="43"/>
      <c r="F5" s="43"/>
      <c r="G5" s="1"/>
      <c r="H5" s="1"/>
      <c r="I5" s="1"/>
      <c r="J5" s="1"/>
      <c r="K5" s="1"/>
    </row>
    <row r="6" spans="1:12" x14ac:dyDescent="0.3">
      <c r="A6" s="52" t="s">
        <v>2</v>
      </c>
      <c r="B6" s="53" t="s">
        <v>3</v>
      </c>
      <c r="C6" s="53" t="s">
        <v>4</v>
      </c>
      <c r="D6" s="53" t="s">
        <v>5</v>
      </c>
      <c r="E6" s="54" t="s">
        <v>1180</v>
      </c>
      <c r="F6" s="54"/>
      <c r="G6" s="51" t="s">
        <v>0</v>
      </c>
      <c r="H6" s="50" t="s">
        <v>6</v>
      </c>
      <c r="I6" s="50"/>
      <c r="J6" s="50"/>
      <c r="K6" s="49" t="s">
        <v>1</v>
      </c>
    </row>
    <row r="7" spans="1:12" x14ac:dyDescent="0.3">
      <c r="A7" s="52"/>
      <c r="B7" s="53"/>
      <c r="C7" s="53"/>
      <c r="D7" s="53"/>
      <c r="E7" s="36" t="s">
        <v>7</v>
      </c>
      <c r="F7" s="36" t="s">
        <v>8</v>
      </c>
      <c r="G7" s="51"/>
      <c r="H7" s="7" t="s">
        <v>7</v>
      </c>
      <c r="I7" s="7" t="s">
        <v>8</v>
      </c>
      <c r="J7" s="7" t="s">
        <v>9</v>
      </c>
      <c r="K7" s="49"/>
    </row>
    <row r="8" spans="1:12" ht="14.5" x14ac:dyDescent="0.3">
      <c r="A8" s="29" t="s">
        <v>10</v>
      </c>
      <c r="B8" s="8" t="s">
        <v>11</v>
      </c>
      <c r="C8" s="9"/>
      <c r="D8" s="9"/>
      <c r="E8" s="10"/>
      <c r="F8" s="10"/>
      <c r="G8" s="10"/>
      <c r="H8" s="11"/>
      <c r="I8" s="11"/>
      <c r="J8" s="11"/>
      <c r="K8" s="11"/>
    </row>
    <row r="9" spans="1:12" ht="29" x14ac:dyDescent="0.3">
      <c r="A9" s="37">
        <v>1</v>
      </c>
      <c r="B9" s="37" t="s">
        <v>197</v>
      </c>
      <c r="C9" s="38" t="s">
        <v>196</v>
      </c>
      <c r="D9" s="37" t="s">
        <v>12</v>
      </c>
      <c r="E9" s="39">
        <v>7098</v>
      </c>
      <c r="F9" s="39">
        <v>0</v>
      </c>
      <c r="G9" s="12"/>
      <c r="H9" s="12">
        <f>E9*G9</f>
        <v>0</v>
      </c>
      <c r="I9" s="12">
        <f>F9*G9</f>
        <v>0</v>
      </c>
      <c r="J9" s="12">
        <f t="shared" ref="J9" si="0">SUM(H9:I9)</f>
        <v>0</v>
      </c>
      <c r="K9" s="13"/>
      <c r="L9" s="32">
        <v>0</v>
      </c>
    </row>
    <row r="10" spans="1:12" ht="29" x14ac:dyDescent="0.3">
      <c r="A10" s="37">
        <v>2</v>
      </c>
      <c r="B10" s="40" t="s">
        <v>198</v>
      </c>
      <c r="C10" s="38" t="s">
        <v>196</v>
      </c>
      <c r="D10" s="37" t="s">
        <v>12</v>
      </c>
      <c r="E10" s="39">
        <v>0</v>
      </c>
      <c r="F10" s="39">
        <v>2169</v>
      </c>
      <c r="G10" s="12"/>
      <c r="H10" s="12">
        <f t="shared" ref="H10:H73" si="1">E10*G10</f>
        <v>0</v>
      </c>
      <c r="I10" s="12">
        <f t="shared" ref="I10:I73" si="2">F10*G10</f>
        <v>0</v>
      </c>
      <c r="J10" s="12">
        <f t="shared" ref="J10:J73" si="3">SUM(H10:I10)</f>
        <v>0</v>
      </c>
      <c r="K10" s="13"/>
      <c r="L10" s="32">
        <v>0</v>
      </c>
    </row>
    <row r="11" spans="1:12" ht="29" x14ac:dyDescent="0.3">
      <c r="A11" s="37">
        <v>3</v>
      </c>
      <c r="B11" s="40" t="s">
        <v>212</v>
      </c>
      <c r="C11" s="38" t="s">
        <v>211</v>
      </c>
      <c r="D11" s="37" t="s">
        <v>12</v>
      </c>
      <c r="E11" s="41">
        <v>46533</v>
      </c>
      <c r="F11" s="39">
        <v>0</v>
      </c>
      <c r="G11" s="12"/>
      <c r="H11" s="12">
        <f t="shared" si="1"/>
        <v>0</v>
      </c>
      <c r="I11" s="12">
        <f t="shared" si="2"/>
        <v>0</v>
      </c>
      <c r="J11" s="12">
        <f t="shared" si="3"/>
        <v>0</v>
      </c>
      <c r="K11" s="13"/>
      <c r="L11" s="32">
        <v>0</v>
      </c>
    </row>
    <row r="12" spans="1:12" ht="29" x14ac:dyDescent="0.3">
      <c r="A12" s="37">
        <v>4</v>
      </c>
      <c r="B12" s="37" t="s">
        <v>213</v>
      </c>
      <c r="C12" s="38" t="s">
        <v>211</v>
      </c>
      <c r="D12" s="37" t="s">
        <v>12</v>
      </c>
      <c r="E12" s="39">
        <v>0</v>
      </c>
      <c r="F12" s="39">
        <v>3471</v>
      </c>
      <c r="G12" s="12"/>
      <c r="H12" s="12">
        <f t="shared" si="1"/>
        <v>0</v>
      </c>
      <c r="I12" s="12">
        <f t="shared" si="2"/>
        <v>0</v>
      </c>
      <c r="J12" s="12">
        <f t="shared" si="3"/>
        <v>0</v>
      </c>
      <c r="K12" s="13"/>
      <c r="L12" s="32">
        <v>0</v>
      </c>
    </row>
    <row r="13" spans="1:12" ht="29" x14ac:dyDescent="0.3">
      <c r="A13" s="37">
        <v>5</v>
      </c>
      <c r="B13" s="40" t="s">
        <v>200</v>
      </c>
      <c r="C13" s="38" t="s">
        <v>199</v>
      </c>
      <c r="D13" s="37" t="s">
        <v>12</v>
      </c>
      <c r="E13" s="39">
        <v>10111</v>
      </c>
      <c r="F13" s="39">
        <v>0</v>
      </c>
      <c r="G13" s="12"/>
      <c r="H13" s="12">
        <f t="shared" si="1"/>
        <v>0</v>
      </c>
      <c r="I13" s="12">
        <f t="shared" si="2"/>
        <v>0</v>
      </c>
      <c r="J13" s="12">
        <f t="shared" si="3"/>
        <v>0</v>
      </c>
      <c r="K13" s="13"/>
      <c r="L13" s="32">
        <v>0</v>
      </c>
    </row>
    <row r="14" spans="1:12" ht="29" x14ac:dyDescent="0.3">
      <c r="A14" s="37">
        <v>6</v>
      </c>
      <c r="B14" s="40" t="s">
        <v>201</v>
      </c>
      <c r="C14" s="38" t="s">
        <v>199</v>
      </c>
      <c r="D14" s="37" t="s">
        <v>12</v>
      </c>
      <c r="E14" s="41">
        <v>0</v>
      </c>
      <c r="F14" s="39">
        <v>3073</v>
      </c>
      <c r="G14" s="12"/>
      <c r="H14" s="12">
        <f t="shared" si="1"/>
        <v>0</v>
      </c>
      <c r="I14" s="12">
        <f t="shared" si="2"/>
        <v>0</v>
      </c>
      <c r="J14" s="12">
        <f t="shared" si="3"/>
        <v>0</v>
      </c>
      <c r="K14" s="13"/>
      <c r="L14" s="32">
        <v>0</v>
      </c>
    </row>
    <row r="15" spans="1:12" ht="29" x14ac:dyDescent="0.3">
      <c r="A15" s="37">
        <v>7</v>
      </c>
      <c r="B15" s="37" t="s">
        <v>215</v>
      </c>
      <c r="C15" s="38" t="s">
        <v>214</v>
      </c>
      <c r="D15" s="37" t="s">
        <v>12</v>
      </c>
      <c r="E15" s="39">
        <v>88728</v>
      </c>
      <c r="F15" s="39">
        <v>0</v>
      </c>
      <c r="G15" s="12"/>
      <c r="H15" s="12">
        <f t="shared" si="1"/>
        <v>0</v>
      </c>
      <c r="I15" s="12">
        <f t="shared" si="2"/>
        <v>0</v>
      </c>
      <c r="J15" s="12">
        <f t="shared" si="3"/>
        <v>0</v>
      </c>
      <c r="K15" s="13"/>
      <c r="L15" s="32">
        <v>0</v>
      </c>
    </row>
    <row r="16" spans="1:12" ht="29" x14ac:dyDescent="0.3">
      <c r="A16" s="37">
        <v>8</v>
      </c>
      <c r="B16" s="40" t="s">
        <v>216</v>
      </c>
      <c r="C16" s="38" t="s">
        <v>214</v>
      </c>
      <c r="D16" s="37" t="s">
        <v>12</v>
      </c>
      <c r="E16" s="39">
        <v>0</v>
      </c>
      <c r="F16" s="39">
        <v>4338</v>
      </c>
      <c r="G16" s="12"/>
      <c r="H16" s="12">
        <f t="shared" si="1"/>
        <v>0</v>
      </c>
      <c r="I16" s="12">
        <f t="shared" si="2"/>
        <v>0</v>
      </c>
      <c r="J16" s="12">
        <f t="shared" si="3"/>
        <v>0</v>
      </c>
      <c r="K16" s="13"/>
      <c r="L16" s="32">
        <v>0</v>
      </c>
    </row>
    <row r="17" spans="1:12" ht="29" x14ac:dyDescent="0.3">
      <c r="A17" s="37">
        <v>9</v>
      </c>
      <c r="B17" s="40" t="s">
        <v>188</v>
      </c>
      <c r="C17" s="38" t="s">
        <v>187</v>
      </c>
      <c r="D17" s="37" t="s">
        <v>12</v>
      </c>
      <c r="E17" s="41">
        <v>1972</v>
      </c>
      <c r="F17" s="39">
        <v>0</v>
      </c>
      <c r="G17" s="12"/>
      <c r="H17" s="12">
        <f t="shared" si="1"/>
        <v>0</v>
      </c>
      <c r="I17" s="12">
        <f t="shared" si="2"/>
        <v>0</v>
      </c>
      <c r="J17" s="12">
        <f t="shared" si="3"/>
        <v>0</v>
      </c>
      <c r="K17" s="13"/>
      <c r="L17" s="32">
        <v>0</v>
      </c>
    </row>
    <row r="18" spans="1:12" ht="29" x14ac:dyDescent="0.3">
      <c r="A18" s="37">
        <v>10</v>
      </c>
      <c r="B18" s="37" t="s">
        <v>189</v>
      </c>
      <c r="C18" s="38" t="s">
        <v>187</v>
      </c>
      <c r="D18" s="37" t="s">
        <v>12</v>
      </c>
      <c r="E18" s="39">
        <v>0</v>
      </c>
      <c r="F18" s="39">
        <v>2169</v>
      </c>
      <c r="G18" s="12"/>
      <c r="H18" s="12">
        <f t="shared" si="1"/>
        <v>0</v>
      </c>
      <c r="I18" s="12">
        <f t="shared" si="2"/>
        <v>0</v>
      </c>
      <c r="J18" s="12">
        <f t="shared" si="3"/>
        <v>0</v>
      </c>
      <c r="K18" s="13"/>
      <c r="L18" s="32">
        <v>0</v>
      </c>
    </row>
    <row r="19" spans="1:12" ht="29" x14ac:dyDescent="0.3">
      <c r="A19" s="37">
        <v>11</v>
      </c>
      <c r="B19" s="40" t="s">
        <v>203</v>
      </c>
      <c r="C19" s="38" t="s">
        <v>202</v>
      </c>
      <c r="D19" s="37" t="s">
        <v>12</v>
      </c>
      <c r="E19" s="39">
        <v>15971</v>
      </c>
      <c r="F19" s="39">
        <v>0</v>
      </c>
      <c r="G19" s="12"/>
      <c r="H19" s="12">
        <f t="shared" si="1"/>
        <v>0</v>
      </c>
      <c r="I19" s="12">
        <f t="shared" si="2"/>
        <v>0</v>
      </c>
      <c r="J19" s="12">
        <f t="shared" si="3"/>
        <v>0</v>
      </c>
      <c r="K19" s="14"/>
    </row>
    <row r="20" spans="1:12" ht="29" x14ac:dyDescent="0.3">
      <c r="A20" s="37">
        <v>12</v>
      </c>
      <c r="B20" s="40" t="s">
        <v>204</v>
      </c>
      <c r="C20" s="38" t="s">
        <v>202</v>
      </c>
      <c r="D20" s="37" t="s">
        <v>12</v>
      </c>
      <c r="E20" s="41">
        <v>0</v>
      </c>
      <c r="F20" s="39">
        <v>3073</v>
      </c>
      <c r="G20" s="12"/>
      <c r="H20" s="12">
        <f t="shared" si="1"/>
        <v>0</v>
      </c>
      <c r="I20" s="12">
        <f t="shared" si="2"/>
        <v>0</v>
      </c>
      <c r="J20" s="12">
        <f t="shared" si="3"/>
        <v>0</v>
      </c>
      <c r="K20" s="14"/>
    </row>
    <row r="21" spans="1:12" ht="29" x14ac:dyDescent="0.3">
      <c r="A21" s="37">
        <v>13</v>
      </c>
      <c r="B21" s="37" t="s">
        <v>191</v>
      </c>
      <c r="C21" s="38" t="s">
        <v>190</v>
      </c>
      <c r="D21" s="37" t="s">
        <v>12</v>
      </c>
      <c r="E21" s="39">
        <v>2760</v>
      </c>
      <c r="F21" s="39">
        <v>0</v>
      </c>
      <c r="G21" s="12"/>
      <c r="H21" s="12">
        <f t="shared" si="1"/>
        <v>0</v>
      </c>
      <c r="I21" s="12">
        <f t="shared" si="2"/>
        <v>0</v>
      </c>
      <c r="J21" s="12">
        <f t="shared" si="3"/>
        <v>0</v>
      </c>
      <c r="K21" s="14"/>
    </row>
    <row r="22" spans="1:12" ht="29" x14ac:dyDescent="0.3">
      <c r="A22" s="37">
        <v>14</v>
      </c>
      <c r="B22" s="40" t="s">
        <v>192</v>
      </c>
      <c r="C22" s="38" t="s">
        <v>190</v>
      </c>
      <c r="D22" s="37" t="s">
        <v>12</v>
      </c>
      <c r="E22" s="39">
        <v>0</v>
      </c>
      <c r="F22" s="41">
        <v>2169</v>
      </c>
      <c r="G22" s="12"/>
      <c r="H22" s="12">
        <f t="shared" si="1"/>
        <v>0</v>
      </c>
      <c r="I22" s="12">
        <f t="shared" si="2"/>
        <v>0</v>
      </c>
      <c r="J22" s="12">
        <f t="shared" si="3"/>
        <v>0</v>
      </c>
      <c r="K22" s="14"/>
    </row>
    <row r="23" spans="1:12" ht="29" x14ac:dyDescent="0.3">
      <c r="A23" s="37">
        <v>15</v>
      </c>
      <c r="B23" s="40" t="s">
        <v>206</v>
      </c>
      <c r="C23" s="38" t="s">
        <v>205</v>
      </c>
      <c r="D23" s="37" t="s">
        <v>12</v>
      </c>
      <c r="E23" s="41">
        <v>25633</v>
      </c>
      <c r="F23" s="39">
        <v>0</v>
      </c>
      <c r="G23" s="12"/>
      <c r="H23" s="12">
        <f t="shared" si="1"/>
        <v>0</v>
      </c>
      <c r="I23" s="12">
        <f t="shared" si="2"/>
        <v>0</v>
      </c>
      <c r="J23" s="12">
        <f t="shared" si="3"/>
        <v>0</v>
      </c>
      <c r="K23" s="14"/>
    </row>
    <row r="24" spans="1:12" ht="29" x14ac:dyDescent="0.3">
      <c r="A24" s="37">
        <v>16</v>
      </c>
      <c r="B24" s="37" t="s">
        <v>207</v>
      </c>
      <c r="C24" s="38" t="s">
        <v>205</v>
      </c>
      <c r="D24" s="37" t="s">
        <v>12</v>
      </c>
      <c r="E24" s="39">
        <v>0</v>
      </c>
      <c r="F24" s="39">
        <v>3073</v>
      </c>
      <c r="G24" s="12"/>
      <c r="H24" s="12">
        <f t="shared" si="1"/>
        <v>0</v>
      </c>
      <c r="I24" s="12">
        <f t="shared" si="2"/>
        <v>0</v>
      </c>
      <c r="J24" s="12">
        <f t="shared" si="3"/>
        <v>0</v>
      </c>
      <c r="K24" s="14"/>
    </row>
    <row r="25" spans="1:12" ht="29" x14ac:dyDescent="0.3">
      <c r="A25" s="37">
        <v>17</v>
      </c>
      <c r="B25" s="40" t="s">
        <v>194</v>
      </c>
      <c r="C25" s="38" t="s">
        <v>193</v>
      </c>
      <c r="D25" s="37" t="s">
        <v>12</v>
      </c>
      <c r="E25" s="39">
        <v>5126</v>
      </c>
      <c r="F25" s="41">
        <v>0</v>
      </c>
      <c r="G25" s="12"/>
      <c r="H25" s="12">
        <f t="shared" si="1"/>
        <v>0</v>
      </c>
      <c r="I25" s="12">
        <f t="shared" si="2"/>
        <v>0</v>
      </c>
      <c r="J25" s="12">
        <f t="shared" si="3"/>
        <v>0</v>
      </c>
      <c r="K25" s="14"/>
    </row>
    <row r="26" spans="1:12" ht="29" x14ac:dyDescent="0.3">
      <c r="A26" s="37">
        <v>18</v>
      </c>
      <c r="B26" s="40" t="s">
        <v>195</v>
      </c>
      <c r="C26" s="38" t="s">
        <v>193</v>
      </c>
      <c r="D26" s="37" t="s">
        <v>12</v>
      </c>
      <c r="E26" s="41">
        <v>0</v>
      </c>
      <c r="F26" s="39">
        <v>2169</v>
      </c>
      <c r="G26" s="12"/>
      <c r="H26" s="12">
        <f t="shared" si="1"/>
        <v>0</v>
      </c>
      <c r="I26" s="12">
        <f t="shared" si="2"/>
        <v>0</v>
      </c>
      <c r="J26" s="12">
        <f t="shared" si="3"/>
        <v>0</v>
      </c>
      <c r="K26" s="14"/>
    </row>
    <row r="27" spans="1:12" ht="29" x14ac:dyDescent="0.3">
      <c r="A27" s="37">
        <v>19</v>
      </c>
      <c r="B27" s="37" t="s">
        <v>209</v>
      </c>
      <c r="C27" s="38" t="s">
        <v>208</v>
      </c>
      <c r="D27" s="37" t="s">
        <v>12</v>
      </c>
      <c r="E27" s="39">
        <v>30168</v>
      </c>
      <c r="F27" s="39">
        <v>0</v>
      </c>
      <c r="G27" s="12"/>
      <c r="H27" s="12">
        <f t="shared" si="1"/>
        <v>0</v>
      </c>
      <c r="I27" s="12">
        <f t="shared" si="2"/>
        <v>0</v>
      </c>
      <c r="J27" s="12">
        <f t="shared" si="3"/>
        <v>0</v>
      </c>
      <c r="K27" s="13"/>
    </row>
    <row r="28" spans="1:12" ht="29" x14ac:dyDescent="0.3">
      <c r="A28" s="37">
        <v>20</v>
      </c>
      <c r="B28" s="40" t="s">
        <v>210</v>
      </c>
      <c r="C28" s="38" t="s">
        <v>208</v>
      </c>
      <c r="D28" s="37" t="s">
        <v>12</v>
      </c>
      <c r="E28" s="39">
        <v>0</v>
      </c>
      <c r="F28" s="41">
        <v>3037</v>
      </c>
      <c r="G28" s="12"/>
      <c r="H28" s="12">
        <f t="shared" si="1"/>
        <v>0</v>
      </c>
      <c r="I28" s="12">
        <f t="shared" si="2"/>
        <v>0</v>
      </c>
      <c r="J28" s="12">
        <f t="shared" si="3"/>
        <v>0</v>
      </c>
      <c r="K28" s="13"/>
      <c r="L28" s="32">
        <v>0</v>
      </c>
    </row>
    <row r="29" spans="1:12" ht="29" x14ac:dyDescent="0.3">
      <c r="A29" s="37">
        <v>21</v>
      </c>
      <c r="B29" s="40" t="s">
        <v>695</v>
      </c>
      <c r="C29" s="38" t="s">
        <v>694</v>
      </c>
      <c r="D29" s="37" t="s">
        <v>12</v>
      </c>
      <c r="E29" s="41">
        <v>1230</v>
      </c>
      <c r="F29" s="39">
        <v>0</v>
      </c>
      <c r="G29" s="12"/>
      <c r="H29" s="12">
        <f t="shared" si="1"/>
        <v>0</v>
      </c>
      <c r="I29" s="12">
        <f t="shared" si="2"/>
        <v>0</v>
      </c>
      <c r="J29" s="12">
        <f t="shared" si="3"/>
        <v>0</v>
      </c>
      <c r="K29" s="13"/>
      <c r="L29" s="32">
        <v>0</v>
      </c>
    </row>
    <row r="30" spans="1:12" ht="29" x14ac:dyDescent="0.3">
      <c r="A30" s="37">
        <v>22</v>
      </c>
      <c r="B30" s="37" t="s">
        <v>696</v>
      </c>
      <c r="C30" s="38" t="s">
        <v>694</v>
      </c>
      <c r="D30" s="37" t="s">
        <v>12</v>
      </c>
      <c r="E30" s="39">
        <v>0</v>
      </c>
      <c r="F30" s="39">
        <v>1476</v>
      </c>
      <c r="G30" s="12"/>
      <c r="H30" s="12">
        <f t="shared" si="1"/>
        <v>0</v>
      </c>
      <c r="I30" s="12">
        <f t="shared" si="2"/>
        <v>0</v>
      </c>
      <c r="J30" s="12">
        <f t="shared" si="3"/>
        <v>0</v>
      </c>
      <c r="K30" s="14"/>
    </row>
    <row r="31" spans="1:12" ht="29" x14ac:dyDescent="0.3">
      <c r="A31" s="37">
        <v>23</v>
      </c>
      <c r="B31" s="40" t="s">
        <v>1101</v>
      </c>
      <c r="C31" s="38" t="s">
        <v>694</v>
      </c>
      <c r="D31" s="37" t="s">
        <v>12</v>
      </c>
      <c r="E31" s="39">
        <v>1230</v>
      </c>
      <c r="F31" s="41">
        <v>0</v>
      </c>
      <c r="G31" s="12"/>
      <c r="H31" s="12">
        <f t="shared" si="1"/>
        <v>0</v>
      </c>
      <c r="I31" s="12">
        <f t="shared" si="2"/>
        <v>0</v>
      </c>
      <c r="J31" s="12">
        <f t="shared" si="3"/>
        <v>0</v>
      </c>
      <c r="K31" s="13"/>
      <c r="L31" s="32">
        <v>0</v>
      </c>
    </row>
    <row r="32" spans="1:12" ht="29" x14ac:dyDescent="0.3">
      <c r="A32" s="37">
        <v>24</v>
      </c>
      <c r="B32" s="40" t="s">
        <v>1123</v>
      </c>
      <c r="C32" s="38" t="s">
        <v>694</v>
      </c>
      <c r="D32" s="37" t="s">
        <v>12</v>
      </c>
      <c r="E32" s="41">
        <v>0</v>
      </c>
      <c r="F32" s="39">
        <v>391</v>
      </c>
      <c r="G32" s="12"/>
      <c r="H32" s="12">
        <f t="shared" si="1"/>
        <v>0</v>
      </c>
      <c r="I32" s="12">
        <f t="shared" si="2"/>
        <v>0</v>
      </c>
      <c r="J32" s="12">
        <f t="shared" si="3"/>
        <v>0</v>
      </c>
      <c r="K32" s="13"/>
    </row>
    <row r="33" spans="1:13" ht="29" x14ac:dyDescent="0.3">
      <c r="A33" s="37">
        <v>25</v>
      </c>
      <c r="B33" s="37" t="s">
        <v>165</v>
      </c>
      <c r="C33" s="38" t="s">
        <v>164</v>
      </c>
      <c r="D33" s="37" t="s">
        <v>12</v>
      </c>
      <c r="E33" s="39">
        <v>5679</v>
      </c>
      <c r="F33" s="39">
        <v>0</v>
      </c>
      <c r="G33" s="12"/>
      <c r="H33" s="12">
        <f t="shared" si="1"/>
        <v>0</v>
      </c>
      <c r="I33" s="12">
        <f t="shared" si="2"/>
        <v>0</v>
      </c>
      <c r="J33" s="12">
        <f t="shared" si="3"/>
        <v>0</v>
      </c>
      <c r="K33" s="13"/>
    </row>
    <row r="34" spans="1:13" ht="29" x14ac:dyDescent="0.3">
      <c r="A34" s="37">
        <v>26</v>
      </c>
      <c r="B34" s="40" t="s">
        <v>166</v>
      </c>
      <c r="C34" s="38" t="s">
        <v>164</v>
      </c>
      <c r="D34" s="37" t="s">
        <v>12</v>
      </c>
      <c r="E34" s="39">
        <v>0</v>
      </c>
      <c r="F34" s="41">
        <v>3814</v>
      </c>
      <c r="G34" s="12"/>
      <c r="H34" s="12">
        <f t="shared" si="1"/>
        <v>0</v>
      </c>
      <c r="I34" s="12">
        <f t="shared" si="2"/>
        <v>0</v>
      </c>
      <c r="J34" s="12">
        <f t="shared" si="3"/>
        <v>0</v>
      </c>
      <c r="K34" s="13"/>
    </row>
    <row r="35" spans="1:13" ht="29" x14ac:dyDescent="0.3">
      <c r="A35" s="37">
        <v>27</v>
      </c>
      <c r="B35" s="40" t="s">
        <v>147</v>
      </c>
      <c r="C35" s="38" t="s">
        <v>146</v>
      </c>
      <c r="D35" s="37" t="s">
        <v>12</v>
      </c>
      <c r="E35" s="41">
        <v>16474</v>
      </c>
      <c r="F35" s="39">
        <v>0</v>
      </c>
      <c r="G35" s="12"/>
      <c r="H35" s="12">
        <f t="shared" si="1"/>
        <v>0</v>
      </c>
      <c r="I35" s="12">
        <f t="shared" si="2"/>
        <v>0</v>
      </c>
      <c r="J35" s="12">
        <f t="shared" si="3"/>
        <v>0</v>
      </c>
      <c r="K35" s="13"/>
    </row>
    <row r="36" spans="1:13" ht="29" x14ac:dyDescent="0.3">
      <c r="A36" s="37">
        <v>28</v>
      </c>
      <c r="B36" s="37" t="s">
        <v>148</v>
      </c>
      <c r="C36" s="38" t="s">
        <v>146</v>
      </c>
      <c r="D36" s="37" t="s">
        <v>12</v>
      </c>
      <c r="E36" s="39">
        <v>0</v>
      </c>
      <c r="F36" s="39">
        <v>4321</v>
      </c>
      <c r="G36" s="12"/>
      <c r="H36" s="12">
        <f t="shared" si="1"/>
        <v>0</v>
      </c>
      <c r="I36" s="12">
        <f t="shared" si="2"/>
        <v>0</v>
      </c>
      <c r="J36" s="12">
        <f t="shared" si="3"/>
        <v>0</v>
      </c>
      <c r="K36" s="13"/>
    </row>
    <row r="37" spans="1:13" ht="29" x14ac:dyDescent="0.3">
      <c r="A37" s="37">
        <v>29</v>
      </c>
      <c r="B37" s="40" t="s">
        <v>123</v>
      </c>
      <c r="C37" s="38" t="s">
        <v>122</v>
      </c>
      <c r="D37" s="37" t="s">
        <v>12</v>
      </c>
      <c r="E37" s="39">
        <v>12611</v>
      </c>
      <c r="F37" s="41">
        <v>0</v>
      </c>
      <c r="G37" s="12"/>
      <c r="H37" s="12">
        <f t="shared" si="1"/>
        <v>0</v>
      </c>
      <c r="I37" s="12">
        <f t="shared" si="2"/>
        <v>0</v>
      </c>
      <c r="J37" s="12">
        <f t="shared" si="3"/>
        <v>0</v>
      </c>
      <c r="K37" s="13"/>
    </row>
    <row r="38" spans="1:13" ht="29" x14ac:dyDescent="0.3">
      <c r="A38" s="37">
        <v>30</v>
      </c>
      <c r="B38" s="40" t="s">
        <v>124</v>
      </c>
      <c r="C38" s="38" t="s">
        <v>122</v>
      </c>
      <c r="D38" s="37" t="s">
        <v>12</v>
      </c>
      <c r="E38" s="41">
        <v>0</v>
      </c>
      <c r="F38" s="39">
        <v>4354</v>
      </c>
      <c r="G38" s="12"/>
      <c r="H38" s="12">
        <f t="shared" si="1"/>
        <v>0</v>
      </c>
      <c r="I38" s="12">
        <f t="shared" si="2"/>
        <v>0</v>
      </c>
      <c r="J38" s="12">
        <f t="shared" si="3"/>
        <v>0</v>
      </c>
      <c r="K38" s="13"/>
      <c r="M38" s="33" t="s">
        <v>83</v>
      </c>
    </row>
    <row r="39" spans="1:13" ht="29" x14ac:dyDescent="0.3">
      <c r="A39" s="37">
        <v>31</v>
      </c>
      <c r="B39" s="37" t="s">
        <v>168</v>
      </c>
      <c r="C39" s="38" t="s">
        <v>167</v>
      </c>
      <c r="D39" s="37" t="s">
        <v>12</v>
      </c>
      <c r="E39" s="39">
        <v>6817</v>
      </c>
      <c r="F39" s="39">
        <v>0</v>
      </c>
      <c r="G39" s="12"/>
      <c r="H39" s="12">
        <f t="shared" si="1"/>
        <v>0</v>
      </c>
      <c r="I39" s="12">
        <f t="shared" si="2"/>
        <v>0</v>
      </c>
      <c r="J39" s="12">
        <f t="shared" si="3"/>
        <v>0</v>
      </c>
      <c r="K39" s="14"/>
    </row>
    <row r="40" spans="1:13" ht="29" x14ac:dyDescent="0.3">
      <c r="A40" s="37">
        <v>32</v>
      </c>
      <c r="B40" s="40" t="s">
        <v>169</v>
      </c>
      <c r="C40" s="38" t="s">
        <v>167</v>
      </c>
      <c r="D40" s="37" t="s">
        <v>12</v>
      </c>
      <c r="E40" s="39">
        <v>0</v>
      </c>
      <c r="F40" s="41">
        <v>3814</v>
      </c>
      <c r="G40" s="12"/>
      <c r="H40" s="12">
        <f t="shared" si="1"/>
        <v>0</v>
      </c>
      <c r="I40" s="12">
        <f t="shared" si="2"/>
        <v>0</v>
      </c>
      <c r="J40" s="12">
        <f t="shared" si="3"/>
        <v>0</v>
      </c>
      <c r="K40" s="14"/>
    </row>
    <row r="41" spans="1:13" ht="29" x14ac:dyDescent="0.3">
      <c r="A41" s="37">
        <v>33</v>
      </c>
      <c r="B41" s="40" t="s">
        <v>150</v>
      </c>
      <c r="C41" s="38" t="s">
        <v>149</v>
      </c>
      <c r="D41" s="37" t="s">
        <v>12</v>
      </c>
      <c r="E41" s="41">
        <v>21811</v>
      </c>
      <c r="F41" s="39">
        <v>0</v>
      </c>
      <c r="G41" s="12"/>
      <c r="H41" s="12">
        <f t="shared" si="1"/>
        <v>0</v>
      </c>
      <c r="I41" s="12">
        <f t="shared" si="2"/>
        <v>0</v>
      </c>
      <c r="J41" s="12">
        <f t="shared" si="3"/>
        <v>0</v>
      </c>
      <c r="K41" s="14"/>
    </row>
    <row r="42" spans="1:13" ht="29" x14ac:dyDescent="0.3">
      <c r="A42" s="37">
        <v>34</v>
      </c>
      <c r="B42" s="37" t="s">
        <v>151</v>
      </c>
      <c r="C42" s="38" t="s">
        <v>149</v>
      </c>
      <c r="D42" s="37" t="s">
        <v>12</v>
      </c>
      <c r="E42" s="39">
        <v>0</v>
      </c>
      <c r="F42" s="39">
        <v>4321</v>
      </c>
      <c r="G42" s="12"/>
      <c r="H42" s="12">
        <f t="shared" si="1"/>
        <v>0</v>
      </c>
      <c r="I42" s="12">
        <f t="shared" si="2"/>
        <v>0</v>
      </c>
      <c r="J42" s="12">
        <f t="shared" si="3"/>
        <v>0</v>
      </c>
      <c r="K42" s="14"/>
    </row>
    <row r="43" spans="1:13" ht="29" x14ac:dyDescent="0.3">
      <c r="A43" s="37">
        <v>35</v>
      </c>
      <c r="B43" s="40" t="s">
        <v>126</v>
      </c>
      <c r="C43" s="38" t="s">
        <v>125</v>
      </c>
      <c r="D43" s="37" t="s">
        <v>12</v>
      </c>
      <c r="E43" s="39">
        <v>15506</v>
      </c>
      <c r="F43" s="41">
        <v>0</v>
      </c>
      <c r="G43" s="12"/>
      <c r="H43" s="12">
        <f t="shared" si="1"/>
        <v>0</v>
      </c>
      <c r="I43" s="12">
        <f t="shared" si="2"/>
        <v>0</v>
      </c>
      <c r="J43" s="12">
        <f t="shared" si="3"/>
        <v>0</v>
      </c>
      <c r="K43" s="14"/>
    </row>
    <row r="44" spans="1:13" ht="29" x14ac:dyDescent="0.3">
      <c r="A44" s="37">
        <v>36</v>
      </c>
      <c r="B44" s="40" t="s">
        <v>127</v>
      </c>
      <c r="C44" s="38" t="s">
        <v>125</v>
      </c>
      <c r="D44" s="37" t="s">
        <v>12</v>
      </c>
      <c r="E44" s="41">
        <v>0</v>
      </c>
      <c r="F44" s="39">
        <v>4321</v>
      </c>
      <c r="G44" s="12"/>
      <c r="H44" s="12">
        <f t="shared" si="1"/>
        <v>0</v>
      </c>
      <c r="I44" s="12">
        <f t="shared" si="2"/>
        <v>0</v>
      </c>
      <c r="J44" s="12">
        <f t="shared" si="3"/>
        <v>0</v>
      </c>
      <c r="K44" s="14"/>
    </row>
    <row r="45" spans="1:13" ht="29" x14ac:dyDescent="0.3">
      <c r="A45" s="37">
        <v>37</v>
      </c>
      <c r="B45" s="37" t="s">
        <v>153</v>
      </c>
      <c r="C45" s="38" t="s">
        <v>152</v>
      </c>
      <c r="D45" s="37" t="s">
        <v>12</v>
      </c>
      <c r="E45" s="39">
        <v>34112</v>
      </c>
      <c r="F45" s="39">
        <v>0</v>
      </c>
      <c r="G45" s="12"/>
      <c r="H45" s="12">
        <f t="shared" si="1"/>
        <v>0</v>
      </c>
      <c r="I45" s="12">
        <f t="shared" si="2"/>
        <v>0</v>
      </c>
      <c r="J45" s="12">
        <f t="shared" si="3"/>
        <v>0</v>
      </c>
      <c r="K45" s="14"/>
    </row>
    <row r="46" spans="1:13" ht="29" x14ac:dyDescent="0.3">
      <c r="A46" s="37">
        <v>38</v>
      </c>
      <c r="B46" s="40" t="s">
        <v>154</v>
      </c>
      <c r="C46" s="38" t="s">
        <v>152</v>
      </c>
      <c r="D46" s="37" t="s">
        <v>12</v>
      </c>
      <c r="E46" s="39">
        <v>0</v>
      </c>
      <c r="F46" s="41">
        <v>4321</v>
      </c>
      <c r="G46" s="12"/>
      <c r="H46" s="12">
        <f t="shared" si="1"/>
        <v>0</v>
      </c>
      <c r="I46" s="12">
        <f t="shared" si="2"/>
        <v>0</v>
      </c>
      <c r="J46" s="12">
        <f t="shared" si="3"/>
        <v>0</v>
      </c>
      <c r="K46" s="14"/>
    </row>
    <row r="47" spans="1:13" ht="29" x14ac:dyDescent="0.3">
      <c r="A47" s="37">
        <v>39</v>
      </c>
      <c r="B47" s="40" t="s">
        <v>129</v>
      </c>
      <c r="C47" s="38" t="s">
        <v>128</v>
      </c>
      <c r="D47" s="37" t="s">
        <v>12</v>
      </c>
      <c r="E47" s="41">
        <v>21708</v>
      </c>
      <c r="F47" s="39">
        <v>0</v>
      </c>
      <c r="G47" s="12"/>
      <c r="H47" s="12">
        <f t="shared" si="1"/>
        <v>0</v>
      </c>
      <c r="I47" s="12">
        <f t="shared" si="2"/>
        <v>0</v>
      </c>
      <c r="J47" s="12">
        <f t="shared" si="3"/>
        <v>0</v>
      </c>
      <c r="K47" s="14"/>
    </row>
    <row r="48" spans="1:13" ht="29" x14ac:dyDescent="0.3">
      <c r="A48" s="37">
        <v>40</v>
      </c>
      <c r="B48" s="37" t="s">
        <v>130</v>
      </c>
      <c r="C48" s="38" t="s">
        <v>128</v>
      </c>
      <c r="D48" s="37" t="s">
        <v>12</v>
      </c>
      <c r="E48" s="39">
        <v>0</v>
      </c>
      <c r="F48" s="39">
        <v>4321</v>
      </c>
      <c r="G48" s="12"/>
      <c r="H48" s="12">
        <f t="shared" si="1"/>
        <v>0</v>
      </c>
      <c r="I48" s="12">
        <f t="shared" si="2"/>
        <v>0</v>
      </c>
      <c r="J48" s="12">
        <f t="shared" si="3"/>
        <v>0</v>
      </c>
      <c r="K48" s="14"/>
    </row>
    <row r="49" spans="1:24" ht="29" x14ac:dyDescent="0.3">
      <c r="A49" s="37">
        <v>41</v>
      </c>
      <c r="B49" s="40" t="s">
        <v>156</v>
      </c>
      <c r="C49" s="38" t="s">
        <v>155</v>
      </c>
      <c r="D49" s="37" t="s">
        <v>12</v>
      </c>
      <c r="E49" s="39">
        <v>58921</v>
      </c>
      <c r="F49" s="41">
        <v>0</v>
      </c>
      <c r="G49" s="12"/>
      <c r="H49" s="12">
        <f t="shared" si="1"/>
        <v>0</v>
      </c>
      <c r="I49" s="12">
        <f t="shared" si="2"/>
        <v>0</v>
      </c>
      <c r="J49" s="12">
        <f t="shared" si="3"/>
        <v>0</v>
      </c>
      <c r="K49" s="14"/>
    </row>
    <row r="50" spans="1:24" ht="29" x14ac:dyDescent="0.3">
      <c r="A50" s="37">
        <v>42</v>
      </c>
      <c r="B50" s="40" t="s">
        <v>157</v>
      </c>
      <c r="C50" s="38" t="s">
        <v>155</v>
      </c>
      <c r="D50" s="37" t="s">
        <v>12</v>
      </c>
      <c r="E50" s="41">
        <v>0</v>
      </c>
      <c r="F50" s="39">
        <v>4321</v>
      </c>
      <c r="G50" s="12"/>
      <c r="H50" s="12">
        <f t="shared" si="1"/>
        <v>0</v>
      </c>
      <c r="I50" s="12">
        <f t="shared" si="2"/>
        <v>0</v>
      </c>
      <c r="J50" s="12">
        <f t="shared" si="3"/>
        <v>0</v>
      </c>
      <c r="K50" s="14"/>
    </row>
    <row r="51" spans="1:24" ht="29" x14ac:dyDescent="0.3">
      <c r="A51" s="37">
        <v>43</v>
      </c>
      <c r="B51" s="37" t="s">
        <v>132</v>
      </c>
      <c r="C51" s="38" t="s">
        <v>131</v>
      </c>
      <c r="D51" s="37" t="s">
        <v>12</v>
      </c>
      <c r="E51" s="39">
        <v>33078</v>
      </c>
      <c r="F51" s="39">
        <v>0</v>
      </c>
      <c r="G51" s="12"/>
      <c r="H51" s="12">
        <f t="shared" si="1"/>
        <v>0</v>
      </c>
      <c r="I51" s="12">
        <f t="shared" si="2"/>
        <v>0</v>
      </c>
      <c r="J51" s="12">
        <f t="shared" si="3"/>
        <v>0</v>
      </c>
      <c r="K51" s="14"/>
    </row>
    <row r="52" spans="1:24" ht="29" x14ac:dyDescent="0.3">
      <c r="A52" s="37">
        <v>44</v>
      </c>
      <c r="B52" s="40" t="s">
        <v>133</v>
      </c>
      <c r="C52" s="38" t="s">
        <v>131</v>
      </c>
      <c r="D52" s="37" t="s">
        <v>12</v>
      </c>
      <c r="E52" s="39">
        <v>0</v>
      </c>
      <c r="F52" s="41">
        <v>4321</v>
      </c>
      <c r="G52" s="12"/>
      <c r="H52" s="12">
        <f t="shared" si="1"/>
        <v>0</v>
      </c>
      <c r="I52" s="12">
        <f t="shared" si="2"/>
        <v>0</v>
      </c>
      <c r="J52" s="12">
        <f t="shared" si="3"/>
        <v>0</v>
      </c>
      <c r="K52" s="14"/>
    </row>
    <row r="53" spans="1:24" ht="29" x14ac:dyDescent="0.3">
      <c r="A53" s="37">
        <v>45</v>
      </c>
      <c r="B53" s="40" t="s">
        <v>680</v>
      </c>
      <c r="C53" s="38" t="s">
        <v>92</v>
      </c>
      <c r="D53" s="37" t="s">
        <v>12</v>
      </c>
      <c r="E53" s="41">
        <v>5500</v>
      </c>
      <c r="F53" s="39">
        <v>0</v>
      </c>
      <c r="G53" s="12"/>
      <c r="H53" s="12">
        <f t="shared" si="1"/>
        <v>0</v>
      </c>
      <c r="I53" s="12">
        <f t="shared" si="2"/>
        <v>0</v>
      </c>
      <c r="J53" s="12">
        <f t="shared" si="3"/>
        <v>0</v>
      </c>
      <c r="K53" s="14"/>
    </row>
    <row r="54" spans="1:24" ht="29" x14ac:dyDescent="0.3">
      <c r="A54" s="37">
        <v>46</v>
      </c>
      <c r="B54" s="37" t="s">
        <v>681</v>
      </c>
      <c r="C54" s="38" t="s">
        <v>92</v>
      </c>
      <c r="D54" s="37" t="s">
        <v>12</v>
      </c>
      <c r="E54" s="39">
        <v>0</v>
      </c>
      <c r="F54" s="39">
        <v>3901</v>
      </c>
      <c r="G54" s="12"/>
      <c r="H54" s="12">
        <f t="shared" si="1"/>
        <v>0</v>
      </c>
      <c r="I54" s="12">
        <f t="shared" si="2"/>
        <v>0</v>
      </c>
      <c r="J54" s="12">
        <f t="shared" si="3"/>
        <v>0</v>
      </c>
      <c r="K54" s="14"/>
    </row>
    <row r="55" spans="1:24" ht="29" x14ac:dyDescent="0.3">
      <c r="A55" s="37">
        <v>47</v>
      </c>
      <c r="B55" s="40" t="s">
        <v>682</v>
      </c>
      <c r="C55" s="38" t="s">
        <v>93</v>
      </c>
      <c r="D55" s="37" t="s">
        <v>12</v>
      </c>
      <c r="E55" s="39">
        <v>6595</v>
      </c>
      <c r="F55" s="41">
        <v>0</v>
      </c>
      <c r="G55" s="12"/>
      <c r="H55" s="12">
        <f t="shared" si="1"/>
        <v>0</v>
      </c>
      <c r="I55" s="12">
        <f t="shared" si="2"/>
        <v>0</v>
      </c>
      <c r="J55" s="12">
        <f t="shared" si="3"/>
        <v>0</v>
      </c>
      <c r="K55" s="14"/>
    </row>
    <row r="56" spans="1:24" ht="29" x14ac:dyDescent="0.3">
      <c r="A56" s="37">
        <v>48</v>
      </c>
      <c r="B56" s="40" t="s">
        <v>683</v>
      </c>
      <c r="C56" s="38" t="s">
        <v>93</v>
      </c>
      <c r="D56" s="37" t="s">
        <v>12</v>
      </c>
      <c r="E56" s="41">
        <v>0</v>
      </c>
      <c r="F56" s="39">
        <v>3951</v>
      </c>
      <c r="G56" s="12"/>
      <c r="H56" s="12">
        <f t="shared" si="1"/>
        <v>0</v>
      </c>
      <c r="I56" s="12">
        <f t="shared" si="2"/>
        <v>0</v>
      </c>
      <c r="J56" s="12">
        <f t="shared" si="3"/>
        <v>0</v>
      </c>
      <c r="K56" s="13"/>
    </row>
    <row r="57" spans="1:24" ht="29" x14ac:dyDescent="0.3">
      <c r="A57" s="37">
        <v>49</v>
      </c>
      <c r="B57" s="37" t="s">
        <v>684</v>
      </c>
      <c r="C57" s="38" t="s">
        <v>94</v>
      </c>
      <c r="D57" s="37" t="s">
        <v>12</v>
      </c>
      <c r="E57" s="39">
        <v>10000</v>
      </c>
      <c r="F57" s="39">
        <v>0</v>
      </c>
      <c r="G57" s="12"/>
      <c r="H57" s="12">
        <f t="shared" si="1"/>
        <v>0</v>
      </c>
      <c r="I57" s="12">
        <f t="shared" si="2"/>
        <v>0</v>
      </c>
      <c r="J57" s="12">
        <f t="shared" si="3"/>
        <v>0</v>
      </c>
      <c r="K57" s="13"/>
    </row>
    <row r="58" spans="1:24" ht="29" x14ac:dyDescent="0.3">
      <c r="A58" s="37">
        <v>50</v>
      </c>
      <c r="B58" s="40" t="s">
        <v>685</v>
      </c>
      <c r="C58" s="38" t="s">
        <v>94</v>
      </c>
      <c r="D58" s="37" t="s">
        <v>12</v>
      </c>
      <c r="E58" s="39">
        <v>0</v>
      </c>
      <c r="F58" s="41">
        <v>3971</v>
      </c>
      <c r="G58" s="12"/>
      <c r="H58" s="12">
        <f t="shared" si="1"/>
        <v>0</v>
      </c>
      <c r="I58" s="12">
        <f t="shared" si="2"/>
        <v>0</v>
      </c>
      <c r="J58" s="12">
        <f t="shared" si="3"/>
        <v>0</v>
      </c>
      <c r="K58" s="14"/>
    </row>
    <row r="59" spans="1:24" s="16" customFormat="1" ht="29" x14ac:dyDescent="0.35">
      <c r="A59" s="37">
        <v>51</v>
      </c>
      <c r="B59" s="40" t="s">
        <v>686</v>
      </c>
      <c r="C59" s="38" t="s">
        <v>95</v>
      </c>
      <c r="D59" s="37" t="s">
        <v>12</v>
      </c>
      <c r="E59" s="41">
        <v>18370</v>
      </c>
      <c r="F59" s="39">
        <v>0</v>
      </c>
      <c r="G59" s="12"/>
      <c r="H59" s="12">
        <f t="shared" si="1"/>
        <v>0</v>
      </c>
      <c r="I59" s="12">
        <f t="shared" si="2"/>
        <v>0</v>
      </c>
      <c r="J59" s="12">
        <f t="shared" si="3"/>
        <v>0</v>
      </c>
      <c r="K59" s="15"/>
      <c r="L59" s="32"/>
      <c r="M59" s="33"/>
      <c r="N59" s="33"/>
      <c r="O59" s="33"/>
      <c r="P59" s="33"/>
      <c r="Q59" s="33"/>
      <c r="R59" s="33"/>
      <c r="S59" s="33"/>
      <c r="T59" s="33"/>
      <c r="U59" s="33"/>
      <c r="V59" s="33"/>
      <c r="W59" s="33"/>
      <c r="X59" s="33"/>
    </row>
    <row r="60" spans="1:24" ht="29" x14ac:dyDescent="0.3">
      <c r="A60" s="37">
        <v>52</v>
      </c>
      <c r="B60" s="37" t="s">
        <v>687</v>
      </c>
      <c r="C60" s="38" t="s">
        <v>95</v>
      </c>
      <c r="D60" s="37" t="s">
        <v>12</v>
      </c>
      <c r="E60" s="39">
        <v>0</v>
      </c>
      <c r="F60" s="39">
        <v>4571</v>
      </c>
      <c r="G60" s="12"/>
      <c r="H60" s="12">
        <f t="shared" si="1"/>
        <v>0</v>
      </c>
      <c r="I60" s="12">
        <f t="shared" si="2"/>
        <v>0</v>
      </c>
      <c r="J60" s="12">
        <f t="shared" si="3"/>
        <v>0</v>
      </c>
      <c r="K60" s="13"/>
    </row>
    <row r="61" spans="1:24" ht="14.5" x14ac:dyDescent="0.3">
      <c r="A61" s="37">
        <v>53</v>
      </c>
      <c r="B61" s="40" t="s">
        <v>1102</v>
      </c>
      <c r="C61" s="38" t="s">
        <v>1148</v>
      </c>
      <c r="D61" s="37" t="s">
        <v>13</v>
      </c>
      <c r="E61" s="39">
        <v>290000</v>
      </c>
      <c r="F61" s="41">
        <v>0</v>
      </c>
      <c r="G61" s="12"/>
      <c r="H61" s="12">
        <f t="shared" si="1"/>
        <v>0</v>
      </c>
      <c r="I61" s="12">
        <f t="shared" si="2"/>
        <v>0</v>
      </c>
      <c r="J61" s="12">
        <f t="shared" si="3"/>
        <v>0</v>
      </c>
      <c r="K61" s="13"/>
    </row>
    <row r="62" spans="1:24" ht="14.5" x14ac:dyDescent="0.3">
      <c r="A62" s="37">
        <v>54</v>
      </c>
      <c r="B62" s="40" t="s">
        <v>1124</v>
      </c>
      <c r="C62" s="38" t="s">
        <v>1148</v>
      </c>
      <c r="D62" s="37" t="s">
        <v>13</v>
      </c>
      <c r="E62" s="41">
        <v>0</v>
      </c>
      <c r="F62" s="39">
        <v>130000</v>
      </c>
      <c r="G62" s="12"/>
      <c r="H62" s="12">
        <f t="shared" si="1"/>
        <v>0</v>
      </c>
      <c r="I62" s="12">
        <f t="shared" si="2"/>
        <v>0</v>
      </c>
      <c r="J62" s="12">
        <f t="shared" si="3"/>
        <v>0</v>
      </c>
      <c r="K62" s="13"/>
    </row>
    <row r="63" spans="1:24" ht="14.5" x14ac:dyDescent="0.3">
      <c r="A63" s="37">
        <v>55</v>
      </c>
      <c r="B63" s="37" t="s">
        <v>1103</v>
      </c>
      <c r="C63" s="38" t="s">
        <v>1149</v>
      </c>
      <c r="D63" s="37" t="s">
        <v>13</v>
      </c>
      <c r="E63" s="39">
        <v>555000</v>
      </c>
      <c r="F63" s="39">
        <v>0</v>
      </c>
      <c r="G63" s="12"/>
      <c r="H63" s="12">
        <f t="shared" si="1"/>
        <v>0</v>
      </c>
      <c r="I63" s="12">
        <f t="shared" si="2"/>
        <v>0</v>
      </c>
      <c r="J63" s="12">
        <f t="shared" si="3"/>
        <v>0</v>
      </c>
      <c r="K63" s="13"/>
    </row>
    <row r="64" spans="1:24" ht="14.5" x14ac:dyDescent="0.3">
      <c r="A64" s="37">
        <v>56</v>
      </c>
      <c r="B64" s="40" t="s">
        <v>1125</v>
      </c>
      <c r="C64" s="38" t="s">
        <v>1149</v>
      </c>
      <c r="D64" s="37" t="s">
        <v>13</v>
      </c>
      <c r="E64" s="39">
        <v>0</v>
      </c>
      <c r="F64" s="41">
        <v>130000</v>
      </c>
      <c r="G64" s="12"/>
      <c r="H64" s="12">
        <f t="shared" si="1"/>
        <v>0</v>
      </c>
      <c r="I64" s="12">
        <f t="shared" si="2"/>
        <v>0</v>
      </c>
      <c r="J64" s="12">
        <f t="shared" si="3"/>
        <v>0</v>
      </c>
      <c r="K64" s="13"/>
    </row>
    <row r="65" spans="1:24" ht="14.5" x14ac:dyDescent="0.3">
      <c r="A65" s="37">
        <v>57</v>
      </c>
      <c r="B65" s="40" t="s">
        <v>918</v>
      </c>
      <c r="C65" s="38" t="s">
        <v>917</v>
      </c>
      <c r="D65" s="37" t="s">
        <v>740</v>
      </c>
      <c r="E65" s="41">
        <v>6050</v>
      </c>
      <c r="F65" s="39">
        <v>0</v>
      </c>
      <c r="G65" s="12"/>
      <c r="H65" s="12">
        <f t="shared" si="1"/>
        <v>0</v>
      </c>
      <c r="I65" s="12">
        <f t="shared" si="2"/>
        <v>0</v>
      </c>
      <c r="J65" s="12">
        <f t="shared" si="3"/>
        <v>0</v>
      </c>
      <c r="K65" s="13"/>
    </row>
    <row r="66" spans="1:24" ht="14.5" x14ac:dyDescent="0.3">
      <c r="A66" s="37">
        <v>58</v>
      </c>
      <c r="B66" s="37" t="s">
        <v>919</v>
      </c>
      <c r="C66" s="38" t="s">
        <v>917</v>
      </c>
      <c r="D66" s="37" t="s">
        <v>740</v>
      </c>
      <c r="E66" s="39">
        <v>0</v>
      </c>
      <c r="F66" s="39">
        <v>1240</v>
      </c>
      <c r="G66" s="12"/>
      <c r="H66" s="12">
        <f t="shared" si="1"/>
        <v>0</v>
      </c>
      <c r="I66" s="12">
        <f t="shared" si="2"/>
        <v>0</v>
      </c>
      <c r="J66" s="12">
        <f t="shared" si="3"/>
        <v>0</v>
      </c>
      <c r="K66" s="13"/>
    </row>
    <row r="67" spans="1:24" s="16" customFormat="1" ht="29" x14ac:dyDescent="0.35">
      <c r="A67" s="37">
        <v>59</v>
      </c>
      <c r="B67" s="40" t="s">
        <v>771</v>
      </c>
      <c r="C67" s="38" t="s">
        <v>770</v>
      </c>
      <c r="D67" s="37" t="s">
        <v>13</v>
      </c>
      <c r="E67" s="39">
        <v>33000</v>
      </c>
      <c r="F67" s="41">
        <v>0</v>
      </c>
      <c r="G67" s="12"/>
      <c r="H67" s="12">
        <f t="shared" si="1"/>
        <v>0</v>
      </c>
      <c r="I67" s="12">
        <f t="shared" si="2"/>
        <v>0</v>
      </c>
      <c r="J67" s="12">
        <f t="shared" si="3"/>
        <v>0</v>
      </c>
      <c r="K67" s="13"/>
      <c r="L67" s="32"/>
      <c r="M67" s="33"/>
      <c r="N67" s="33"/>
      <c r="O67" s="33"/>
      <c r="P67" s="33"/>
      <c r="Q67" s="33"/>
      <c r="R67" s="33"/>
      <c r="S67" s="33"/>
      <c r="T67" s="33"/>
      <c r="U67" s="33"/>
      <c r="V67" s="33"/>
      <c r="W67" s="33"/>
      <c r="X67" s="33"/>
    </row>
    <row r="68" spans="1:24" s="16" customFormat="1" ht="29" x14ac:dyDescent="0.35">
      <c r="A68" s="37">
        <v>60</v>
      </c>
      <c r="B68" s="40" t="s">
        <v>772</v>
      </c>
      <c r="C68" s="38" t="s">
        <v>770</v>
      </c>
      <c r="D68" s="37" t="s">
        <v>13</v>
      </c>
      <c r="E68" s="41">
        <v>0</v>
      </c>
      <c r="F68" s="39">
        <v>15117</v>
      </c>
      <c r="G68" s="12"/>
      <c r="H68" s="12">
        <f t="shared" si="1"/>
        <v>0</v>
      </c>
      <c r="I68" s="12">
        <f t="shared" si="2"/>
        <v>0</v>
      </c>
      <c r="J68" s="12">
        <f t="shared" si="3"/>
        <v>0</v>
      </c>
      <c r="K68" s="13"/>
      <c r="L68" s="32"/>
      <c r="M68" s="33"/>
      <c r="N68" s="33"/>
      <c r="O68" s="33"/>
      <c r="P68" s="33"/>
      <c r="Q68" s="33"/>
      <c r="R68" s="33"/>
      <c r="S68" s="33"/>
      <c r="T68" s="33"/>
      <c r="U68" s="33"/>
      <c r="V68" s="33"/>
      <c r="W68" s="33"/>
      <c r="X68" s="33"/>
    </row>
    <row r="69" spans="1:24" ht="43.5" x14ac:dyDescent="0.3">
      <c r="A69" s="37">
        <v>61</v>
      </c>
      <c r="B69" s="37" t="s">
        <v>278</v>
      </c>
      <c r="C69" s="38" t="s">
        <v>277</v>
      </c>
      <c r="D69" s="37" t="s">
        <v>13</v>
      </c>
      <c r="E69" s="39">
        <v>528079</v>
      </c>
      <c r="F69" s="39">
        <v>0</v>
      </c>
      <c r="G69" s="12"/>
      <c r="H69" s="12">
        <f t="shared" si="1"/>
        <v>0</v>
      </c>
      <c r="I69" s="12">
        <f t="shared" si="2"/>
        <v>0</v>
      </c>
      <c r="J69" s="12">
        <f t="shared" si="3"/>
        <v>0</v>
      </c>
      <c r="K69" s="13"/>
    </row>
    <row r="70" spans="1:24" ht="43.5" x14ac:dyDescent="0.3">
      <c r="A70" s="37">
        <v>62</v>
      </c>
      <c r="B70" s="40" t="s">
        <v>279</v>
      </c>
      <c r="C70" s="38" t="s">
        <v>277</v>
      </c>
      <c r="D70" s="37" t="s">
        <v>13</v>
      </c>
      <c r="E70" s="39">
        <v>0</v>
      </c>
      <c r="F70" s="41">
        <v>661780</v>
      </c>
      <c r="G70" s="12"/>
      <c r="H70" s="12">
        <f t="shared" si="1"/>
        <v>0</v>
      </c>
      <c r="I70" s="12">
        <f t="shared" si="2"/>
        <v>0</v>
      </c>
      <c r="J70" s="12">
        <f t="shared" si="3"/>
        <v>0</v>
      </c>
      <c r="K70" s="13"/>
    </row>
    <row r="71" spans="1:24" ht="58" x14ac:dyDescent="0.3">
      <c r="A71" s="37">
        <v>63</v>
      </c>
      <c r="B71" s="40" t="s">
        <v>504</v>
      </c>
      <c r="C71" s="38" t="s">
        <v>503</v>
      </c>
      <c r="D71" s="37" t="s">
        <v>12</v>
      </c>
      <c r="E71" s="41">
        <v>0</v>
      </c>
      <c r="F71" s="39">
        <v>184572</v>
      </c>
      <c r="G71" s="12"/>
      <c r="H71" s="12">
        <f t="shared" si="1"/>
        <v>0</v>
      </c>
      <c r="I71" s="12">
        <f t="shared" si="2"/>
        <v>0</v>
      </c>
      <c r="J71" s="12">
        <f t="shared" si="3"/>
        <v>0</v>
      </c>
      <c r="K71" s="13"/>
    </row>
    <row r="72" spans="1:24" ht="58" x14ac:dyDescent="0.3">
      <c r="A72" s="37">
        <v>64</v>
      </c>
      <c r="B72" s="37" t="s">
        <v>713</v>
      </c>
      <c r="C72" s="38" t="s">
        <v>711</v>
      </c>
      <c r="D72" s="37" t="s">
        <v>712</v>
      </c>
      <c r="E72" s="39">
        <v>114829</v>
      </c>
      <c r="F72" s="39">
        <v>0</v>
      </c>
      <c r="G72" s="12"/>
      <c r="H72" s="12">
        <f t="shared" si="1"/>
        <v>0</v>
      </c>
      <c r="I72" s="12">
        <f t="shared" si="2"/>
        <v>0</v>
      </c>
      <c r="J72" s="12">
        <f t="shared" si="3"/>
        <v>0</v>
      </c>
      <c r="K72" s="13"/>
    </row>
    <row r="73" spans="1:24" ht="58" x14ac:dyDescent="0.3">
      <c r="A73" s="37">
        <v>65</v>
      </c>
      <c r="B73" s="40" t="s">
        <v>714</v>
      </c>
      <c r="C73" s="38" t="s">
        <v>711</v>
      </c>
      <c r="D73" s="37" t="s">
        <v>712</v>
      </c>
      <c r="E73" s="39">
        <v>0</v>
      </c>
      <c r="F73" s="41">
        <v>102150</v>
      </c>
      <c r="G73" s="12"/>
      <c r="H73" s="12">
        <f t="shared" si="1"/>
        <v>0</v>
      </c>
      <c r="I73" s="12">
        <f t="shared" si="2"/>
        <v>0</v>
      </c>
      <c r="J73" s="12">
        <f t="shared" si="3"/>
        <v>0</v>
      </c>
      <c r="K73" s="13"/>
    </row>
    <row r="74" spans="1:24" ht="42.75" customHeight="1" x14ac:dyDescent="0.3">
      <c r="A74" s="37">
        <v>66</v>
      </c>
      <c r="B74" s="40" t="s">
        <v>489</v>
      </c>
      <c r="C74" s="38" t="s">
        <v>488</v>
      </c>
      <c r="D74" s="37" t="s">
        <v>12</v>
      </c>
      <c r="E74" s="41">
        <v>0</v>
      </c>
      <c r="F74" s="39">
        <v>12042</v>
      </c>
      <c r="G74" s="12"/>
      <c r="H74" s="12">
        <f t="shared" ref="H74:H137" si="4">E74*G74</f>
        <v>0</v>
      </c>
      <c r="I74" s="12">
        <f t="shared" ref="I74:I137" si="5">F74*G74</f>
        <v>0</v>
      </c>
      <c r="J74" s="12">
        <f t="shared" ref="J74:J137" si="6">SUM(H74:I74)</f>
        <v>0</v>
      </c>
      <c r="K74" s="13"/>
    </row>
    <row r="75" spans="1:24" ht="42.75" customHeight="1" x14ac:dyDescent="0.3">
      <c r="A75" s="37">
        <v>67</v>
      </c>
      <c r="B75" s="37" t="s">
        <v>491</v>
      </c>
      <c r="C75" s="38" t="s">
        <v>490</v>
      </c>
      <c r="D75" s="37" t="s">
        <v>12</v>
      </c>
      <c r="E75" s="39">
        <v>0</v>
      </c>
      <c r="F75" s="39">
        <v>22550</v>
      </c>
      <c r="G75" s="12"/>
      <c r="H75" s="12">
        <f t="shared" si="4"/>
        <v>0</v>
      </c>
      <c r="I75" s="12">
        <f t="shared" si="5"/>
        <v>0</v>
      </c>
      <c r="J75" s="12">
        <f t="shared" si="6"/>
        <v>0</v>
      </c>
      <c r="K75" s="13"/>
    </row>
    <row r="76" spans="1:24" ht="43.5" x14ac:dyDescent="0.3">
      <c r="A76" s="37">
        <v>68</v>
      </c>
      <c r="B76" s="40" t="s">
        <v>493</v>
      </c>
      <c r="C76" s="38" t="s">
        <v>492</v>
      </c>
      <c r="D76" s="37" t="s">
        <v>12</v>
      </c>
      <c r="E76" s="39">
        <v>0</v>
      </c>
      <c r="F76" s="41">
        <v>30917</v>
      </c>
      <c r="G76" s="12"/>
      <c r="H76" s="12">
        <f t="shared" si="4"/>
        <v>0</v>
      </c>
      <c r="I76" s="12">
        <f t="shared" si="5"/>
        <v>0</v>
      </c>
      <c r="J76" s="12">
        <f t="shared" si="6"/>
        <v>0</v>
      </c>
      <c r="K76" s="13"/>
    </row>
    <row r="77" spans="1:24" ht="43.5" x14ac:dyDescent="0.3">
      <c r="A77" s="37">
        <v>69</v>
      </c>
      <c r="B77" s="40" t="s">
        <v>495</v>
      </c>
      <c r="C77" s="38" t="s">
        <v>494</v>
      </c>
      <c r="D77" s="37" t="s">
        <v>12</v>
      </c>
      <c r="E77" s="41">
        <v>0</v>
      </c>
      <c r="F77" s="39">
        <v>35313</v>
      </c>
      <c r="G77" s="12"/>
      <c r="H77" s="12">
        <f t="shared" si="4"/>
        <v>0</v>
      </c>
      <c r="I77" s="12">
        <f t="shared" si="5"/>
        <v>0</v>
      </c>
      <c r="J77" s="12">
        <f t="shared" si="6"/>
        <v>0</v>
      </c>
      <c r="K77" s="13"/>
    </row>
    <row r="78" spans="1:24" ht="43.5" x14ac:dyDescent="0.3">
      <c r="A78" s="37">
        <v>70</v>
      </c>
      <c r="B78" s="37" t="s">
        <v>497</v>
      </c>
      <c r="C78" s="38" t="s">
        <v>496</v>
      </c>
      <c r="D78" s="37" t="s">
        <v>12</v>
      </c>
      <c r="E78" s="39">
        <v>0</v>
      </c>
      <c r="F78" s="39">
        <v>37192</v>
      </c>
      <c r="G78" s="12"/>
      <c r="H78" s="12">
        <f t="shared" si="4"/>
        <v>0</v>
      </c>
      <c r="I78" s="12">
        <f t="shared" si="5"/>
        <v>0</v>
      </c>
      <c r="J78" s="12">
        <f t="shared" si="6"/>
        <v>0</v>
      </c>
      <c r="K78" s="14"/>
    </row>
    <row r="79" spans="1:24" ht="43.5" x14ac:dyDescent="0.3">
      <c r="A79" s="37">
        <v>71</v>
      </c>
      <c r="B79" s="40" t="s">
        <v>499</v>
      </c>
      <c r="C79" s="38" t="s">
        <v>498</v>
      </c>
      <c r="D79" s="37" t="s">
        <v>12</v>
      </c>
      <c r="E79" s="39">
        <v>0</v>
      </c>
      <c r="F79" s="41">
        <v>39420</v>
      </c>
      <c r="G79" s="12"/>
      <c r="H79" s="12">
        <f t="shared" si="4"/>
        <v>0</v>
      </c>
      <c r="I79" s="12">
        <f t="shared" si="5"/>
        <v>0</v>
      </c>
      <c r="J79" s="12">
        <f t="shared" si="6"/>
        <v>0</v>
      </c>
      <c r="K79" s="14"/>
    </row>
    <row r="80" spans="1:24" ht="43.5" x14ac:dyDescent="0.3">
      <c r="A80" s="37">
        <v>72</v>
      </c>
      <c r="B80" s="40" t="s">
        <v>501</v>
      </c>
      <c r="C80" s="38" t="s">
        <v>500</v>
      </c>
      <c r="D80" s="37" t="s">
        <v>12</v>
      </c>
      <c r="E80" s="41">
        <v>0</v>
      </c>
      <c r="F80" s="39">
        <v>41500</v>
      </c>
      <c r="G80" s="12"/>
      <c r="H80" s="12">
        <f t="shared" si="4"/>
        <v>0</v>
      </c>
      <c r="I80" s="12">
        <f t="shared" si="5"/>
        <v>0</v>
      </c>
      <c r="J80" s="12">
        <f t="shared" si="6"/>
        <v>0</v>
      </c>
      <c r="K80" s="14"/>
    </row>
    <row r="81" spans="1:24" ht="58" x14ac:dyDescent="0.3">
      <c r="A81" s="37">
        <v>73</v>
      </c>
      <c r="B81" s="37" t="s">
        <v>670</v>
      </c>
      <c r="C81" s="38" t="s">
        <v>99</v>
      </c>
      <c r="D81" s="37" t="s">
        <v>12</v>
      </c>
      <c r="E81" s="39">
        <v>0</v>
      </c>
      <c r="F81" s="39">
        <v>169200</v>
      </c>
      <c r="G81" s="12"/>
      <c r="H81" s="12">
        <f t="shared" si="4"/>
        <v>0</v>
      </c>
      <c r="I81" s="12">
        <f t="shared" si="5"/>
        <v>0</v>
      </c>
      <c r="J81" s="12">
        <f t="shared" si="6"/>
        <v>0</v>
      </c>
      <c r="K81" s="14"/>
    </row>
    <row r="82" spans="1:24" ht="58" x14ac:dyDescent="0.3">
      <c r="A82" s="37">
        <v>74</v>
      </c>
      <c r="B82" s="40" t="s">
        <v>649</v>
      </c>
      <c r="C82" s="38" t="s">
        <v>648</v>
      </c>
      <c r="D82" s="37" t="s">
        <v>12</v>
      </c>
      <c r="E82" s="39">
        <v>163233</v>
      </c>
      <c r="F82" s="41">
        <v>0</v>
      </c>
      <c r="G82" s="12"/>
      <c r="H82" s="12">
        <f t="shared" si="4"/>
        <v>0</v>
      </c>
      <c r="I82" s="12">
        <f t="shared" si="5"/>
        <v>0</v>
      </c>
      <c r="J82" s="12">
        <f t="shared" si="6"/>
        <v>0</v>
      </c>
      <c r="K82" s="14"/>
    </row>
    <row r="83" spans="1:24" ht="58" x14ac:dyDescent="0.3">
      <c r="A83" s="37">
        <v>75</v>
      </c>
      <c r="B83" s="40" t="s">
        <v>650</v>
      </c>
      <c r="C83" s="38" t="s">
        <v>648</v>
      </c>
      <c r="D83" s="37" t="s">
        <v>12</v>
      </c>
      <c r="E83" s="41">
        <v>0</v>
      </c>
      <c r="F83" s="39">
        <v>105008</v>
      </c>
      <c r="G83" s="12"/>
      <c r="H83" s="12">
        <f t="shared" si="4"/>
        <v>0</v>
      </c>
      <c r="I83" s="12">
        <f t="shared" si="5"/>
        <v>0</v>
      </c>
      <c r="J83" s="12">
        <f t="shared" si="6"/>
        <v>0</v>
      </c>
      <c r="K83" s="13"/>
    </row>
    <row r="84" spans="1:24" ht="43.5" x14ac:dyDescent="0.3">
      <c r="A84" s="37">
        <v>76</v>
      </c>
      <c r="B84" s="37" t="s">
        <v>652</v>
      </c>
      <c r="C84" s="38" t="s">
        <v>651</v>
      </c>
      <c r="D84" s="37" t="s">
        <v>12</v>
      </c>
      <c r="E84" s="39">
        <v>0</v>
      </c>
      <c r="F84" s="39">
        <v>125778</v>
      </c>
      <c r="G84" s="12"/>
      <c r="H84" s="12">
        <f t="shared" si="4"/>
        <v>0</v>
      </c>
      <c r="I84" s="12">
        <f t="shared" si="5"/>
        <v>0</v>
      </c>
      <c r="J84" s="12">
        <f t="shared" si="6"/>
        <v>0</v>
      </c>
      <c r="K84" s="13"/>
    </row>
    <row r="85" spans="1:24" ht="43.5" x14ac:dyDescent="0.3">
      <c r="A85" s="37">
        <v>77</v>
      </c>
      <c r="B85" s="40" t="s">
        <v>654</v>
      </c>
      <c r="C85" s="38" t="s">
        <v>653</v>
      </c>
      <c r="D85" s="37" t="s">
        <v>12</v>
      </c>
      <c r="E85" s="39">
        <v>0</v>
      </c>
      <c r="F85" s="41">
        <v>140190</v>
      </c>
      <c r="G85" s="12"/>
      <c r="H85" s="12">
        <f t="shared" si="4"/>
        <v>0</v>
      </c>
      <c r="I85" s="12">
        <f t="shared" si="5"/>
        <v>0</v>
      </c>
      <c r="J85" s="12">
        <f t="shared" si="6"/>
        <v>0</v>
      </c>
      <c r="K85" s="14"/>
    </row>
    <row r="86" spans="1:24" ht="43.5" x14ac:dyDescent="0.3">
      <c r="A86" s="37">
        <v>78</v>
      </c>
      <c r="B86" s="40" t="s">
        <v>656</v>
      </c>
      <c r="C86" s="38" t="s">
        <v>655</v>
      </c>
      <c r="D86" s="37" t="s">
        <v>12</v>
      </c>
      <c r="E86" s="41">
        <v>0</v>
      </c>
      <c r="F86" s="39">
        <v>146321</v>
      </c>
      <c r="G86" s="12"/>
      <c r="H86" s="12">
        <f t="shared" si="4"/>
        <v>0</v>
      </c>
      <c r="I86" s="12">
        <f t="shared" si="5"/>
        <v>0</v>
      </c>
      <c r="J86" s="12">
        <f t="shared" si="6"/>
        <v>0</v>
      </c>
      <c r="K86" s="14"/>
    </row>
    <row r="87" spans="1:24" ht="43.5" x14ac:dyDescent="0.3">
      <c r="A87" s="37">
        <v>79</v>
      </c>
      <c r="B87" s="37" t="s">
        <v>658</v>
      </c>
      <c r="C87" s="38" t="s">
        <v>657</v>
      </c>
      <c r="D87" s="37" t="s">
        <v>12</v>
      </c>
      <c r="E87" s="39">
        <v>0</v>
      </c>
      <c r="F87" s="39">
        <v>150452</v>
      </c>
      <c r="G87" s="12"/>
      <c r="H87" s="12">
        <f t="shared" si="4"/>
        <v>0</v>
      </c>
      <c r="I87" s="12">
        <f t="shared" si="5"/>
        <v>0</v>
      </c>
      <c r="J87" s="12">
        <f t="shared" si="6"/>
        <v>0</v>
      </c>
      <c r="K87" s="14"/>
    </row>
    <row r="88" spans="1:24" s="16" customFormat="1" ht="43.5" x14ac:dyDescent="0.35">
      <c r="A88" s="37">
        <v>80</v>
      </c>
      <c r="B88" s="40" t="s">
        <v>660</v>
      </c>
      <c r="C88" s="38" t="s">
        <v>659</v>
      </c>
      <c r="D88" s="37" t="s">
        <v>12</v>
      </c>
      <c r="E88" s="39">
        <v>0</v>
      </c>
      <c r="F88" s="41">
        <v>157583</v>
      </c>
      <c r="G88" s="12"/>
      <c r="H88" s="12">
        <f t="shared" si="4"/>
        <v>0</v>
      </c>
      <c r="I88" s="12">
        <f t="shared" si="5"/>
        <v>0</v>
      </c>
      <c r="J88" s="12">
        <f t="shared" si="6"/>
        <v>0</v>
      </c>
      <c r="K88" s="15"/>
      <c r="L88" s="32"/>
      <c r="M88" s="33"/>
      <c r="N88" s="33"/>
      <c r="O88" s="33"/>
      <c r="P88" s="33"/>
      <c r="Q88" s="33"/>
      <c r="R88" s="33"/>
      <c r="S88" s="33"/>
      <c r="T88" s="33"/>
      <c r="U88" s="33"/>
      <c r="V88" s="33"/>
      <c r="W88" s="33"/>
      <c r="X88" s="33"/>
    </row>
    <row r="89" spans="1:24" s="16" customFormat="1" ht="29" x14ac:dyDescent="0.35">
      <c r="A89" s="37">
        <v>81</v>
      </c>
      <c r="B89" s="40" t="s">
        <v>502</v>
      </c>
      <c r="C89" s="38" t="s">
        <v>23</v>
      </c>
      <c r="D89" s="37" t="s">
        <v>12</v>
      </c>
      <c r="E89" s="41">
        <v>0</v>
      </c>
      <c r="F89" s="39">
        <v>210000</v>
      </c>
      <c r="G89" s="12"/>
      <c r="H89" s="12">
        <f t="shared" si="4"/>
        <v>0</v>
      </c>
      <c r="I89" s="12">
        <f t="shared" si="5"/>
        <v>0</v>
      </c>
      <c r="J89" s="12">
        <f t="shared" si="6"/>
        <v>0</v>
      </c>
      <c r="K89" s="15"/>
      <c r="L89" s="32"/>
      <c r="M89" s="33"/>
      <c r="N89" s="33"/>
      <c r="O89" s="33"/>
      <c r="P89" s="33"/>
      <c r="Q89" s="33"/>
      <c r="R89" s="33"/>
      <c r="S89" s="33"/>
      <c r="T89" s="33"/>
      <c r="U89" s="33"/>
      <c r="V89" s="33"/>
      <c r="W89" s="33"/>
      <c r="X89" s="33"/>
    </row>
    <row r="90" spans="1:24" ht="29" x14ac:dyDescent="0.3">
      <c r="A90" s="37">
        <v>82</v>
      </c>
      <c r="B90" s="37" t="s">
        <v>505</v>
      </c>
      <c r="C90" s="38" t="s">
        <v>24</v>
      </c>
      <c r="D90" s="37" t="s">
        <v>25</v>
      </c>
      <c r="E90" s="39">
        <v>51358</v>
      </c>
      <c r="F90" s="39">
        <v>0</v>
      </c>
      <c r="G90" s="12"/>
      <c r="H90" s="12">
        <f t="shared" si="4"/>
        <v>0</v>
      </c>
      <c r="I90" s="12">
        <f t="shared" si="5"/>
        <v>0</v>
      </c>
      <c r="J90" s="12">
        <f t="shared" si="6"/>
        <v>0</v>
      </c>
      <c r="K90" s="13"/>
    </row>
    <row r="91" spans="1:24" ht="29" x14ac:dyDescent="0.3">
      <c r="A91" s="37">
        <v>83</v>
      </c>
      <c r="B91" s="40" t="s">
        <v>506</v>
      </c>
      <c r="C91" s="38" t="s">
        <v>24</v>
      </c>
      <c r="D91" s="37" t="s">
        <v>25</v>
      </c>
      <c r="E91" s="41">
        <v>0</v>
      </c>
      <c r="F91" s="39">
        <v>76883</v>
      </c>
      <c r="G91" s="12"/>
      <c r="H91" s="12">
        <f t="shared" si="4"/>
        <v>0</v>
      </c>
      <c r="I91" s="12">
        <f t="shared" si="5"/>
        <v>0</v>
      </c>
      <c r="J91" s="12">
        <f t="shared" si="6"/>
        <v>0</v>
      </c>
      <c r="K91" s="13"/>
    </row>
    <row r="92" spans="1:24" ht="14.5" x14ac:dyDescent="0.3">
      <c r="A92" s="37">
        <v>84</v>
      </c>
      <c r="B92" s="37" t="s">
        <v>933</v>
      </c>
      <c r="C92" s="38" t="s">
        <v>932</v>
      </c>
      <c r="D92" s="37" t="s">
        <v>712</v>
      </c>
      <c r="E92" s="39">
        <v>0</v>
      </c>
      <c r="F92" s="39">
        <v>280</v>
      </c>
      <c r="G92" s="12"/>
      <c r="H92" s="12">
        <f t="shared" si="4"/>
        <v>0</v>
      </c>
      <c r="I92" s="12">
        <f t="shared" si="5"/>
        <v>0</v>
      </c>
      <c r="J92" s="12">
        <f t="shared" si="6"/>
        <v>0</v>
      </c>
      <c r="K92" s="13"/>
    </row>
    <row r="93" spans="1:24" ht="29" x14ac:dyDescent="0.3">
      <c r="A93" s="37">
        <v>85</v>
      </c>
      <c r="B93" s="40" t="s">
        <v>700</v>
      </c>
      <c r="C93" s="38" t="s">
        <v>699</v>
      </c>
      <c r="D93" s="37" t="s">
        <v>12</v>
      </c>
      <c r="E93" s="39">
        <v>0</v>
      </c>
      <c r="F93" s="41">
        <v>740</v>
      </c>
      <c r="G93" s="12"/>
      <c r="H93" s="12">
        <f t="shared" si="4"/>
        <v>0</v>
      </c>
      <c r="I93" s="12">
        <f t="shared" si="5"/>
        <v>0</v>
      </c>
      <c r="J93" s="12">
        <f t="shared" si="6"/>
        <v>0</v>
      </c>
      <c r="K93" s="14"/>
    </row>
    <row r="94" spans="1:24" ht="14.5" x14ac:dyDescent="0.3">
      <c r="A94" s="37">
        <v>86</v>
      </c>
      <c r="B94" s="40" t="s">
        <v>698</v>
      </c>
      <c r="C94" s="38" t="s">
        <v>697</v>
      </c>
      <c r="D94" s="37" t="s">
        <v>12</v>
      </c>
      <c r="E94" s="41">
        <v>0</v>
      </c>
      <c r="F94" s="39">
        <v>650</v>
      </c>
      <c r="G94" s="12"/>
      <c r="H94" s="12">
        <f t="shared" si="4"/>
        <v>0</v>
      </c>
      <c r="I94" s="12">
        <f t="shared" si="5"/>
        <v>0</v>
      </c>
      <c r="J94" s="12">
        <f t="shared" si="6"/>
        <v>0</v>
      </c>
      <c r="K94" s="14"/>
    </row>
    <row r="95" spans="1:24" ht="14.5" x14ac:dyDescent="0.3">
      <c r="A95" s="37">
        <v>87</v>
      </c>
      <c r="B95" s="37" t="s">
        <v>937</v>
      </c>
      <c r="C95" s="38" t="s">
        <v>936</v>
      </c>
      <c r="D95" s="37" t="s">
        <v>71</v>
      </c>
      <c r="E95" s="39">
        <v>0</v>
      </c>
      <c r="F95" s="39">
        <v>140450</v>
      </c>
      <c r="G95" s="12"/>
      <c r="H95" s="12">
        <f t="shared" si="4"/>
        <v>0</v>
      </c>
      <c r="I95" s="12">
        <f t="shared" si="5"/>
        <v>0</v>
      </c>
      <c r="J95" s="12">
        <f t="shared" si="6"/>
        <v>0</v>
      </c>
      <c r="K95" s="14"/>
    </row>
    <row r="96" spans="1:24" ht="58" x14ac:dyDescent="0.3">
      <c r="A96" s="37">
        <v>88</v>
      </c>
      <c r="B96" s="40" t="s">
        <v>646</v>
      </c>
      <c r="C96" s="38" t="s">
        <v>645</v>
      </c>
      <c r="D96" s="37" t="s">
        <v>17</v>
      </c>
      <c r="E96" s="39">
        <v>173214</v>
      </c>
      <c r="F96" s="41">
        <v>0</v>
      </c>
      <c r="G96" s="12"/>
      <c r="H96" s="12">
        <f t="shared" si="4"/>
        <v>0</v>
      </c>
      <c r="I96" s="12">
        <f t="shared" si="5"/>
        <v>0</v>
      </c>
      <c r="J96" s="12">
        <f t="shared" si="6"/>
        <v>0</v>
      </c>
      <c r="K96" s="13"/>
    </row>
    <row r="97" spans="1:15" ht="58" x14ac:dyDescent="0.3">
      <c r="A97" s="37">
        <v>89</v>
      </c>
      <c r="B97" s="40" t="s">
        <v>647</v>
      </c>
      <c r="C97" s="38" t="s">
        <v>645</v>
      </c>
      <c r="D97" s="37" t="s">
        <v>17</v>
      </c>
      <c r="E97" s="41">
        <v>0</v>
      </c>
      <c r="F97" s="39">
        <v>68069</v>
      </c>
      <c r="G97" s="12"/>
      <c r="H97" s="12">
        <f t="shared" si="4"/>
        <v>0</v>
      </c>
      <c r="I97" s="12">
        <f t="shared" si="5"/>
        <v>0</v>
      </c>
      <c r="J97" s="12">
        <f t="shared" si="6"/>
        <v>0</v>
      </c>
      <c r="K97" s="13"/>
      <c r="M97" s="33" t="s">
        <v>18</v>
      </c>
      <c r="N97" s="33"/>
      <c r="O97" s="33"/>
    </row>
    <row r="98" spans="1:15" ht="29" x14ac:dyDescent="0.3">
      <c r="A98" s="37">
        <v>90</v>
      </c>
      <c r="B98" s="37" t="s">
        <v>674</v>
      </c>
      <c r="C98" s="38" t="s">
        <v>673</v>
      </c>
      <c r="D98" s="37" t="s">
        <v>101</v>
      </c>
      <c r="E98" s="39">
        <v>19558</v>
      </c>
      <c r="F98" s="39">
        <v>0</v>
      </c>
      <c r="G98" s="12"/>
      <c r="H98" s="12">
        <f t="shared" si="4"/>
        <v>0</v>
      </c>
      <c r="I98" s="12">
        <f t="shared" si="5"/>
        <v>0</v>
      </c>
      <c r="J98" s="12">
        <f t="shared" si="6"/>
        <v>0</v>
      </c>
      <c r="K98" s="13"/>
      <c r="N98" s="33"/>
      <c r="O98" s="33"/>
    </row>
    <row r="99" spans="1:15" ht="29" x14ac:dyDescent="0.3">
      <c r="A99" s="37">
        <v>91</v>
      </c>
      <c r="B99" s="40" t="s">
        <v>675</v>
      </c>
      <c r="C99" s="38" t="s">
        <v>673</v>
      </c>
      <c r="D99" s="37" t="s">
        <v>101</v>
      </c>
      <c r="E99" s="39">
        <v>0</v>
      </c>
      <c r="F99" s="41">
        <v>10851</v>
      </c>
      <c r="G99" s="12"/>
      <c r="H99" s="12">
        <f t="shared" si="4"/>
        <v>0</v>
      </c>
      <c r="I99" s="12">
        <f t="shared" si="5"/>
        <v>0</v>
      </c>
      <c r="J99" s="12">
        <f t="shared" si="6"/>
        <v>0</v>
      </c>
      <c r="K99" s="14"/>
      <c r="N99" s="33"/>
      <c r="O99" s="33"/>
    </row>
    <row r="100" spans="1:15" ht="14.5" x14ac:dyDescent="0.3">
      <c r="A100" s="37">
        <v>92</v>
      </c>
      <c r="B100" s="40" t="s">
        <v>762</v>
      </c>
      <c r="C100" s="38" t="s">
        <v>761</v>
      </c>
      <c r="D100" s="37" t="s">
        <v>13</v>
      </c>
      <c r="E100" s="41">
        <v>1650</v>
      </c>
      <c r="F100" s="39">
        <v>0</v>
      </c>
      <c r="G100" s="12"/>
      <c r="H100" s="12">
        <f t="shared" si="4"/>
        <v>0</v>
      </c>
      <c r="I100" s="12">
        <f t="shared" si="5"/>
        <v>0</v>
      </c>
      <c r="J100" s="12">
        <f t="shared" si="6"/>
        <v>0</v>
      </c>
      <c r="K100" s="13"/>
      <c r="M100" s="33" t="s">
        <v>19</v>
      </c>
      <c r="N100" s="33"/>
      <c r="O100" s="33" t="s">
        <v>20</v>
      </c>
    </row>
    <row r="101" spans="1:15" ht="14.5" x14ac:dyDescent="0.3">
      <c r="A101" s="37">
        <v>93</v>
      </c>
      <c r="B101" s="37" t="s">
        <v>763</v>
      </c>
      <c r="C101" s="38" t="s">
        <v>761</v>
      </c>
      <c r="D101" s="37" t="s">
        <v>13</v>
      </c>
      <c r="E101" s="39">
        <v>0</v>
      </c>
      <c r="F101" s="39">
        <v>1005</v>
      </c>
      <c r="G101" s="12"/>
      <c r="H101" s="12">
        <f t="shared" si="4"/>
        <v>0</v>
      </c>
      <c r="I101" s="12">
        <f t="shared" si="5"/>
        <v>0</v>
      </c>
      <c r="J101" s="12">
        <f t="shared" si="6"/>
        <v>0</v>
      </c>
      <c r="K101" s="13"/>
    </row>
    <row r="102" spans="1:15" ht="14.5" x14ac:dyDescent="0.3">
      <c r="A102" s="37">
        <v>94</v>
      </c>
      <c r="B102" s="40" t="s">
        <v>1104</v>
      </c>
      <c r="C102" s="38" t="s">
        <v>1150</v>
      </c>
      <c r="D102" s="37" t="s">
        <v>1151</v>
      </c>
      <c r="E102" s="39">
        <v>120</v>
      </c>
      <c r="F102" s="41">
        <v>0</v>
      </c>
      <c r="G102" s="12"/>
      <c r="H102" s="12">
        <f t="shared" si="4"/>
        <v>0</v>
      </c>
      <c r="I102" s="12">
        <f t="shared" si="5"/>
        <v>0</v>
      </c>
      <c r="J102" s="12">
        <f t="shared" si="6"/>
        <v>0</v>
      </c>
      <c r="K102" s="14"/>
    </row>
    <row r="103" spans="1:15" ht="43.5" x14ac:dyDescent="0.3">
      <c r="A103" s="37">
        <v>95</v>
      </c>
      <c r="B103" s="40" t="s">
        <v>891</v>
      </c>
      <c r="C103" s="38" t="s">
        <v>890</v>
      </c>
      <c r="D103" s="37" t="s">
        <v>13</v>
      </c>
      <c r="E103" s="41">
        <v>290000</v>
      </c>
      <c r="F103" s="39">
        <v>0</v>
      </c>
      <c r="G103" s="12"/>
      <c r="H103" s="12">
        <f t="shared" si="4"/>
        <v>0</v>
      </c>
      <c r="I103" s="12">
        <f t="shared" si="5"/>
        <v>0</v>
      </c>
      <c r="J103" s="12">
        <f t="shared" si="6"/>
        <v>0</v>
      </c>
      <c r="K103" s="14"/>
    </row>
    <row r="104" spans="1:15" ht="43.5" x14ac:dyDescent="0.3">
      <c r="A104" s="37">
        <v>96</v>
      </c>
      <c r="B104" s="37" t="s">
        <v>892</v>
      </c>
      <c r="C104" s="38" t="s">
        <v>890</v>
      </c>
      <c r="D104" s="37" t="s">
        <v>13</v>
      </c>
      <c r="E104" s="39">
        <v>0</v>
      </c>
      <c r="F104" s="39">
        <v>96130</v>
      </c>
      <c r="G104" s="12"/>
      <c r="H104" s="12">
        <f t="shared" si="4"/>
        <v>0</v>
      </c>
      <c r="I104" s="12">
        <f t="shared" si="5"/>
        <v>0</v>
      </c>
      <c r="J104" s="12">
        <f t="shared" si="6"/>
        <v>0</v>
      </c>
      <c r="K104" s="14"/>
    </row>
    <row r="105" spans="1:15" ht="14.5" x14ac:dyDescent="0.3">
      <c r="A105" s="37">
        <v>97</v>
      </c>
      <c r="B105" s="40" t="s">
        <v>894</v>
      </c>
      <c r="C105" s="38" t="s">
        <v>893</v>
      </c>
      <c r="D105" s="37" t="s">
        <v>13</v>
      </c>
      <c r="E105" s="39">
        <v>50000</v>
      </c>
      <c r="F105" s="41">
        <v>0</v>
      </c>
      <c r="G105" s="12"/>
      <c r="H105" s="12">
        <f t="shared" si="4"/>
        <v>0</v>
      </c>
      <c r="I105" s="12">
        <f t="shared" si="5"/>
        <v>0</v>
      </c>
      <c r="J105" s="12">
        <f t="shared" si="6"/>
        <v>0</v>
      </c>
      <c r="K105" s="14"/>
    </row>
    <row r="106" spans="1:15" ht="14.5" x14ac:dyDescent="0.3">
      <c r="A106" s="37">
        <v>98</v>
      </c>
      <c r="B106" s="40" t="s">
        <v>1126</v>
      </c>
      <c r="C106" s="38" t="s">
        <v>893</v>
      </c>
      <c r="D106" s="37" t="s">
        <v>13</v>
      </c>
      <c r="E106" s="41">
        <v>0</v>
      </c>
      <c r="F106" s="39">
        <v>0</v>
      </c>
      <c r="G106" s="12"/>
      <c r="H106" s="12">
        <f t="shared" si="4"/>
        <v>0</v>
      </c>
      <c r="I106" s="12">
        <f t="shared" si="5"/>
        <v>0</v>
      </c>
      <c r="J106" s="12">
        <f t="shared" si="6"/>
        <v>0</v>
      </c>
      <c r="K106" s="14"/>
    </row>
    <row r="107" spans="1:15" ht="29" x14ac:dyDescent="0.3">
      <c r="A107" s="37">
        <v>99</v>
      </c>
      <c r="B107" s="37" t="s">
        <v>774</v>
      </c>
      <c r="C107" s="38" t="s">
        <v>773</v>
      </c>
      <c r="D107" s="37" t="s">
        <v>13</v>
      </c>
      <c r="E107" s="39">
        <v>7267</v>
      </c>
      <c r="F107" s="39">
        <v>0</v>
      </c>
      <c r="G107" s="12"/>
      <c r="H107" s="12">
        <f t="shared" si="4"/>
        <v>0</v>
      </c>
      <c r="I107" s="12">
        <f t="shared" si="5"/>
        <v>0</v>
      </c>
      <c r="J107" s="12">
        <f t="shared" si="6"/>
        <v>0</v>
      </c>
      <c r="K107" s="14"/>
    </row>
    <row r="108" spans="1:15" ht="29" x14ac:dyDescent="0.3">
      <c r="A108" s="37">
        <v>100</v>
      </c>
      <c r="B108" s="40" t="s">
        <v>775</v>
      </c>
      <c r="C108" s="38" t="s">
        <v>773</v>
      </c>
      <c r="D108" s="37" t="s">
        <v>13</v>
      </c>
      <c r="E108" s="39">
        <v>0</v>
      </c>
      <c r="F108" s="41">
        <v>11478</v>
      </c>
      <c r="G108" s="12"/>
      <c r="H108" s="12">
        <f t="shared" si="4"/>
        <v>0</v>
      </c>
      <c r="I108" s="12">
        <f t="shared" si="5"/>
        <v>0</v>
      </c>
      <c r="J108" s="12">
        <f t="shared" si="6"/>
        <v>0</v>
      </c>
      <c r="K108" s="14"/>
    </row>
    <row r="109" spans="1:15" ht="14.5" x14ac:dyDescent="0.3">
      <c r="A109" s="37">
        <v>101</v>
      </c>
      <c r="B109" s="40" t="s">
        <v>624</v>
      </c>
      <c r="C109" s="38" t="s">
        <v>70</v>
      </c>
      <c r="D109" s="37" t="s">
        <v>71</v>
      </c>
      <c r="E109" s="41">
        <v>4201991</v>
      </c>
      <c r="F109" s="39">
        <v>0</v>
      </c>
      <c r="G109" s="12"/>
      <c r="H109" s="12">
        <f t="shared" si="4"/>
        <v>0</v>
      </c>
      <c r="I109" s="12">
        <f t="shared" si="5"/>
        <v>0</v>
      </c>
      <c r="J109" s="12">
        <f t="shared" si="6"/>
        <v>0</v>
      </c>
      <c r="K109" s="14"/>
    </row>
    <row r="110" spans="1:15" ht="14.5" x14ac:dyDescent="0.3">
      <c r="A110" s="37">
        <v>102</v>
      </c>
      <c r="B110" s="37" t="s">
        <v>625</v>
      </c>
      <c r="C110" s="38" t="s">
        <v>70</v>
      </c>
      <c r="D110" s="37" t="s">
        <v>71</v>
      </c>
      <c r="E110" s="39">
        <v>0</v>
      </c>
      <c r="F110" s="39">
        <v>567240</v>
      </c>
      <c r="G110" s="12"/>
      <c r="H110" s="12">
        <f t="shared" si="4"/>
        <v>0</v>
      </c>
      <c r="I110" s="12">
        <f t="shared" si="5"/>
        <v>0</v>
      </c>
      <c r="J110" s="12">
        <f t="shared" si="6"/>
        <v>0</v>
      </c>
      <c r="K110" s="14"/>
    </row>
    <row r="111" spans="1:15" ht="14.5" x14ac:dyDescent="0.3">
      <c r="A111" s="37">
        <v>103</v>
      </c>
      <c r="B111" s="40" t="s">
        <v>623</v>
      </c>
      <c r="C111" s="38" t="s">
        <v>69</v>
      </c>
      <c r="D111" s="37" t="s">
        <v>14</v>
      </c>
      <c r="E111" s="39">
        <v>0</v>
      </c>
      <c r="F111" s="41">
        <v>45142</v>
      </c>
      <c r="G111" s="12"/>
      <c r="H111" s="12">
        <f t="shared" si="4"/>
        <v>0</v>
      </c>
      <c r="I111" s="12">
        <f t="shared" si="5"/>
        <v>0</v>
      </c>
      <c r="J111" s="12">
        <f t="shared" si="6"/>
        <v>0</v>
      </c>
      <c r="K111" s="14"/>
    </row>
    <row r="112" spans="1:15" ht="14.5" x14ac:dyDescent="0.3">
      <c r="A112" s="37">
        <v>104</v>
      </c>
      <c r="B112" s="40" t="s">
        <v>630</v>
      </c>
      <c r="C112" s="38" t="s">
        <v>74</v>
      </c>
      <c r="D112" s="37" t="s">
        <v>75</v>
      </c>
      <c r="E112" s="41">
        <v>0</v>
      </c>
      <c r="F112" s="39">
        <v>756320</v>
      </c>
      <c r="G112" s="12"/>
      <c r="H112" s="12">
        <f t="shared" si="4"/>
        <v>0</v>
      </c>
      <c r="I112" s="12">
        <f t="shared" si="5"/>
        <v>0</v>
      </c>
      <c r="J112" s="12">
        <f t="shared" si="6"/>
        <v>0</v>
      </c>
      <c r="K112" s="14"/>
    </row>
    <row r="113" spans="1:12" ht="29" x14ac:dyDescent="0.3">
      <c r="A113" s="37">
        <v>105</v>
      </c>
      <c r="B113" s="37" t="s">
        <v>882</v>
      </c>
      <c r="C113" s="38" t="s">
        <v>881</v>
      </c>
      <c r="D113" s="37" t="s">
        <v>712</v>
      </c>
      <c r="E113" s="39">
        <v>60000</v>
      </c>
      <c r="F113" s="39">
        <v>0</v>
      </c>
      <c r="G113" s="12"/>
      <c r="H113" s="12">
        <f t="shared" si="4"/>
        <v>0</v>
      </c>
      <c r="I113" s="12">
        <f t="shared" si="5"/>
        <v>0</v>
      </c>
      <c r="J113" s="12">
        <f t="shared" si="6"/>
        <v>0</v>
      </c>
      <c r="K113" s="14"/>
    </row>
    <row r="114" spans="1:12" ht="29" x14ac:dyDescent="0.3">
      <c r="A114" s="37">
        <v>106</v>
      </c>
      <c r="B114" s="40" t="s">
        <v>883</v>
      </c>
      <c r="C114" s="38" t="s">
        <v>881</v>
      </c>
      <c r="D114" s="37" t="s">
        <v>712</v>
      </c>
      <c r="E114" s="39">
        <v>0</v>
      </c>
      <c r="F114" s="41">
        <v>3306</v>
      </c>
      <c r="G114" s="12"/>
      <c r="H114" s="12">
        <f t="shared" si="4"/>
        <v>0</v>
      </c>
      <c r="I114" s="12">
        <f t="shared" si="5"/>
        <v>0</v>
      </c>
      <c r="J114" s="12">
        <f t="shared" si="6"/>
        <v>0</v>
      </c>
      <c r="K114" s="14"/>
    </row>
    <row r="115" spans="1:12" ht="29" x14ac:dyDescent="0.3">
      <c r="A115" s="37">
        <v>107</v>
      </c>
      <c r="B115" s="40" t="s">
        <v>159</v>
      </c>
      <c r="C115" s="38" t="s">
        <v>158</v>
      </c>
      <c r="D115" s="37" t="s">
        <v>12</v>
      </c>
      <c r="E115" s="41">
        <v>12690</v>
      </c>
      <c r="F115" s="39">
        <v>0</v>
      </c>
      <c r="G115" s="12"/>
      <c r="H115" s="12">
        <f t="shared" si="4"/>
        <v>0</v>
      </c>
      <c r="I115" s="12">
        <f t="shared" si="5"/>
        <v>0</v>
      </c>
      <c r="J115" s="12">
        <f t="shared" si="6"/>
        <v>0</v>
      </c>
      <c r="K115" s="14"/>
    </row>
    <row r="116" spans="1:12" ht="29" x14ac:dyDescent="0.3">
      <c r="A116" s="37">
        <v>108</v>
      </c>
      <c r="B116" s="37" t="s">
        <v>160</v>
      </c>
      <c r="C116" s="38" t="s">
        <v>158</v>
      </c>
      <c r="D116" s="37" t="s">
        <v>12</v>
      </c>
      <c r="E116" s="39">
        <v>0</v>
      </c>
      <c r="F116" s="39">
        <v>3125</v>
      </c>
      <c r="G116" s="12"/>
      <c r="H116" s="12">
        <f t="shared" si="4"/>
        <v>0</v>
      </c>
      <c r="I116" s="12">
        <f t="shared" si="5"/>
        <v>0</v>
      </c>
      <c r="J116" s="12">
        <f t="shared" si="6"/>
        <v>0</v>
      </c>
      <c r="K116" s="14"/>
    </row>
    <row r="117" spans="1:12" ht="29" x14ac:dyDescent="0.3">
      <c r="A117" s="37">
        <v>109</v>
      </c>
      <c r="B117" s="40" t="s">
        <v>135</v>
      </c>
      <c r="C117" s="38" t="s">
        <v>134</v>
      </c>
      <c r="D117" s="37" t="s">
        <v>12</v>
      </c>
      <c r="E117" s="39">
        <v>11991</v>
      </c>
      <c r="F117" s="41">
        <v>0</v>
      </c>
      <c r="G117" s="12"/>
      <c r="H117" s="12">
        <f t="shared" si="4"/>
        <v>0</v>
      </c>
      <c r="I117" s="12">
        <f t="shared" si="5"/>
        <v>0</v>
      </c>
      <c r="J117" s="12">
        <f t="shared" si="6"/>
        <v>0</v>
      </c>
      <c r="K117" s="14"/>
    </row>
    <row r="118" spans="1:12" ht="29" x14ac:dyDescent="0.3">
      <c r="A118" s="37">
        <v>110</v>
      </c>
      <c r="B118" s="40" t="s">
        <v>136</v>
      </c>
      <c r="C118" s="38" t="s">
        <v>134</v>
      </c>
      <c r="D118" s="37" t="s">
        <v>12</v>
      </c>
      <c r="E118" s="41">
        <v>0</v>
      </c>
      <c r="F118" s="39">
        <v>3125</v>
      </c>
      <c r="G118" s="12"/>
      <c r="H118" s="12">
        <f t="shared" si="4"/>
        <v>0</v>
      </c>
      <c r="I118" s="12">
        <f t="shared" si="5"/>
        <v>0</v>
      </c>
      <c r="J118" s="12">
        <f t="shared" si="6"/>
        <v>0</v>
      </c>
      <c r="K118" s="14"/>
    </row>
    <row r="119" spans="1:12" ht="29" x14ac:dyDescent="0.3">
      <c r="A119" s="37">
        <v>111</v>
      </c>
      <c r="B119" s="37" t="s">
        <v>105</v>
      </c>
      <c r="C119" s="38" t="s">
        <v>104</v>
      </c>
      <c r="D119" s="37" t="s">
        <v>12</v>
      </c>
      <c r="E119" s="39">
        <v>6403</v>
      </c>
      <c r="F119" s="39">
        <v>0</v>
      </c>
      <c r="G119" s="12"/>
      <c r="H119" s="12">
        <f t="shared" si="4"/>
        <v>0</v>
      </c>
      <c r="I119" s="12">
        <f t="shared" si="5"/>
        <v>0</v>
      </c>
      <c r="J119" s="12">
        <f t="shared" si="6"/>
        <v>0</v>
      </c>
      <c r="K119" s="14"/>
    </row>
    <row r="120" spans="1:12" ht="29" x14ac:dyDescent="0.3">
      <c r="A120" s="37">
        <v>112</v>
      </c>
      <c r="B120" s="40" t="s">
        <v>106</v>
      </c>
      <c r="C120" s="38" t="s">
        <v>104</v>
      </c>
      <c r="D120" s="37" t="s">
        <v>12</v>
      </c>
      <c r="E120" s="39">
        <v>0</v>
      </c>
      <c r="F120" s="41">
        <v>3126</v>
      </c>
      <c r="G120" s="12"/>
      <c r="H120" s="12">
        <f t="shared" si="4"/>
        <v>0</v>
      </c>
      <c r="I120" s="12">
        <f t="shared" si="5"/>
        <v>0</v>
      </c>
      <c r="J120" s="12">
        <f t="shared" si="6"/>
        <v>0</v>
      </c>
      <c r="K120" s="14"/>
    </row>
    <row r="121" spans="1:12" ht="29" x14ac:dyDescent="0.3">
      <c r="A121" s="37">
        <v>113</v>
      </c>
      <c r="B121" s="40" t="s">
        <v>117</v>
      </c>
      <c r="C121" s="38" t="s">
        <v>116</v>
      </c>
      <c r="D121" s="37" t="s">
        <v>12</v>
      </c>
      <c r="E121" s="41">
        <v>35280</v>
      </c>
      <c r="F121" s="39">
        <v>0</v>
      </c>
      <c r="G121" s="12"/>
      <c r="H121" s="12">
        <f t="shared" si="4"/>
        <v>0</v>
      </c>
      <c r="I121" s="12">
        <f t="shared" si="5"/>
        <v>0</v>
      </c>
      <c r="J121" s="12">
        <f t="shared" si="6"/>
        <v>0</v>
      </c>
      <c r="K121" s="14"/>
    </row>
    <row r="122" spans="1:12" ht="29" x14ac:dyDescent="0.3">
      <c r="A122" s="37">
        <v>114</v>
      </c>
      <c r="B122" s="37" t="s">
        <v>118</v>
      </c>
      <c r="C122" s="38" t="s">
        <v>116</v>
      </c>
      <c r="D122" s="37" t="s">
        <v>12</v>
      </c>
      <c r="E122" s="39">
        <v>0</v>
      </c>
      <c r="F122" s="39">
        <v>3802</v>
      </c>
      <c r="G122" s="12"/>
      <c r="H122" s="12">
        <f t="shared" si="4"/>
        <v>0</v>
      </c>
      <c r="I122" s="12">
        <f t="shared" si="5"/>
        <v>0</v>
      </c>
      <c r="J122" s="12">
        <f t="shared" si="6"/>
        <v>0</v>
      </c>
      <c r="K122" s="14"/>
    </row>
    <row r="123" spans="1:12" ht="29" x14ac:dyDescent="0.3">
      <c r="A123" s="37">
        <v>115</v>
      </c>
      <c r="B123" s="40" t="s">
        <v>162</v>
      </c>
      <c r="C123" s="38" t="s">
        <v>161</v>
      </c>
      <c r="D123" s="37" t="s">
        <v>12</v>
      </c>
      <c r="E123" s="39">
        <v>16284</v>
      </c>
      <c r="F123" s="41">
        <v>0</v>
      </c>
      <c r="G123" s="12"/>
      <c r="H123" s="12">
        <f t="shared" si="4"/>
        <v>0</v>
      </c>
      <c r="I123" s="12">
        <f t="shared" si="5"/>
        <v>0</v>
      </c>
      <c r="J123" s="12">
        <f t="shared" si="6"/>
        <v>0</v>
      </c>
      <c r="K123" s="14"/>
    </row>
    <row r="124" spans="1:12" ht="29" x14ac:dyDescent="0.3">
      <c r="A124" s="37">
        <v>116</v>
      </c>
      <c r="B124" s="40" t="s">
        <v>163</v>
      </c>
      <c r="C124" s="38" t="s">
        <v>161</v>
      </c>
      <c r="D124" s="37" t="s">
        <v>12</v>
      </c>
      <c r="E124" s="41">
        <v>0</v>
      </c>
      <c r="F124" s="39">
        <v>3125</v>
      </c>
      <c r="G124" s="12"/>
      <c r="H124" s="12">
        <f t="shared" si="4"/>
        <v>0</v>
      </c>
      <c r="I124" s="12">
        <f t="shared" si="5"/>
        <v>0</v>
      </c>
      <c r="J124" s="12">
        <f t="shared" si="6"/>
        <v>0</v>
      </c>
      <c r="K124" s="14"/>
    </row>
    <row r="125" spans="1:12" ht="29" x14ac:dyDescent="0.3">
      <c r="A125" s="37">
        <v>117</v>
      </c>
      <c r="B125" s="37" t="s">
        <v>138</v>
      </c>
      <c r="C125" s="38" t="s">
        <v>137</v>
      </c>
      <c r="D125" s="37" t="s">
        <v>12</v>
      </c>
      <c r="E125" s="39">
        <v>17056</v>
      </c>
      <c r="F125" s="39">
        <v>0</v>
      </c>
      <c r="G125" s="12"/>
      <c r="H125" s="12">
        <f t="shared" si="4"/>
        <v>0</v>
      </c>
      <c r="I125" s="12">
        <f t="shared" si="5"/>
        <v>0</v>
      </c>
      <c r="J125" s="12">
        <f t="shared" si="6"/>
        <v>0</v>
      </c>
      <c r="K125" s="14"/>
    </row>
    <row r="126" spans="1:12" ht="29" x14ac:dyDescent="0.3">
      <c r="A126" s="37">
        <v>118</v>
      </c>
      <c r="B126" s="40" t="s">
        <v>139</v>
      </c>
      <c r="C126" s="38" t="s">
        <v>137</v>
      </c>
      <c r="D126" s="37" t="s">
        <v>12</v>
      </c>
      <c r="E126" s="39">
        <v>0</v>
      </c>
      <c r="F126" s="41">
        <v>3125</v>
      </c>
      <c r="G126" s="12"/>
      <c r="H126" s="12">
        <f t="shared" si="4"/>
        <v>0</v>
      </c>
      <c r="I126" s="12">
        <f t="shared" si="5"/>
        <v>0</v>
      </c>
      <c r="J126" s="12">
        <f t="shared" si="6"/>
        <v>0</v>
      </c>
      <c r="K126" s="13"/>
      <c r="L126" s="32">
        <v>0</v>
      </c>
    </row>
    <row r="127" spans="1:12" ht="29" x14ac:dyDescent="0.3">
      <c r="A127" s="37">
        <v>119</v>
      </c>
      <c r="B127" s="40" t="s">
        <v>108</v>
      </c>
      <c r="C127" s="38" t="s">
        <v>107</v>
      </c>
      <c r="D127" s="37" t="s">
        <v>12</v>
      </c>
      <c r="E127" s="41">
        <v>8400</v>
      </c>
      <c r="F127" s="39">
        <v>0</v>
      </c>
      <c r="G127" s="12"/>
      <c r="H127" s="12">
        <f t="shared" si="4"/>
        <v>0</v>
      </c>
      <c r="I127" s="12">
        <f t="shared" si="5"/>
        <v>0</v>
      </c>
      <c r="J127" s="12">
        <f t="shared" si="6"/>
        <v>0</v>
      </c>
      <c r="K127" s="14"/>
    </row>
    <row r="128" spans="1:12" ht="29" x14ac:dyDescent="0.3">
      <c r="A128" s="37">
        <v>120</v>
      </c>
      <c r="B128" s="37" t="s">
        <v>109</v>
      </c>
      <c r="C128" s="38" t="s">
        <v>107</v>
      </c>
      <c r="D128" s="37" t="s">
        <v>12</v>
      </c>
      <c r="E128" s="39">
        <v>0</v>
      </c>
      <c r="F128" s="39">
        <v>3106</v>
      </c>
      <c r="G128" s="12"/>
      <c r="H128" s="12">
        <f t="shared" si="4"/>
        <v>0</v>
      </c>
      <c r="I128" s="12">
        <f t="shared" si="5"/>
        <v>0</v>
      </c>
      <c r="J128" s="12">
        <f t="shared" si="6"/>
        <v>0</v>
      </c>
      <c r="K128" s="13"/>
      <c r="L128" s="32">
        <v>0</v>
      </c>
    </row>
    <row r="129" spans="1:12" ht="29" x14ac:dyDescent="0.3">
      <c r="A129" s="37">
        <v>121</v>
      </c>
      <c r="B129" s="40" t="s">
        <v>120</v>
      </c>
      <c r="C129" s="38" t="s">
        <v>119</v>
      </c>
      <c r="D129" s="37" t="s">
        <v>12</v>
      </c>
      <c r="E129" s="39">
        <v>66220</v>
      </c>
      <c r="F129" s="41">
        <v>0</v>
      </c>
      <c r="G129" s="12"/>
      <c r="H129" s="12">
        <f t="shared" si="4"/>
        <v>0</v>
      </c>
      <c r="I129" s="12">
        <f t="shared" si="5"/>
        <v>0</v>
      </c>
      <c r="J129" s="12">
        <f t="shared" si="6"/>
        <v>0</v>
      </c>
      <c r="K129" s="14"/>
    </row>
    <row r="130" spans="1:12" ht="29" x14ac:dyDescent="0.3">
      <c r="A130" s="37">
        <v>122</v>
      </c>
      <c r="B130" s="40" t="s">
        <v>121</v>
      </c>
      <c r="C130" s="38" t="s">
        <v>119</v>
      </c>
      <c r="D130" s="37" t="s">
        <v>12</v>
      </c>
      <c r="E130" s="41">
        <v>0</v>
      </c>
      <c r="F130" s="39">
        <v>3796</v>
      </c>
      <c r="G130" s="12"/>
      <c r="H130" s="12">
        <f t="shared" si="4"/>
        <v>0</v>
      </c>
      <c r="I130" s="12">
        <f t="shared" si="5"/>
        <v>0</v>
      </c>
      <c r="J130" s="12">
        <f t="shared" si="6"/>
        <v>0</v>
      </c>
      <c r="K130" s="13"/>
      <c r="L130" s="32">
        <v>0</v>
      </c>
    </row>
    <row r="131" spans="1:12" ht="29" x14ac:dyDescent="0.3">
      <c r="A131" s="37">
        <v>123</v>
      </c>
      <c r="B131" s="37" t="s">
        <v>626</v>
      </c>
      <c r="C131" s="38" t="s">
        <v>72</v>
      </c>
      <c r="D131" s="37" t="s">
        <v>12</v>
      </c>
      <c r="E131" s="39">
        <v>2162</v>
      </c>
      <c r="F131" s="39">
        <v>0</v>
      </c>
      <c r="G131" s="12"/>
      <c r="H131" s="12">
        <f t="shared" si="4"/>
        <v>0</v>
      </c>
      <c r="I131" s="12">
        <f t="shared" si="5"/>
        <v>0</v>
      </c>
      <c r="J131" s="12">
        <f t="shared" si="6"/>
        <v>0</v>
      </c>
      <c r="K131" s="14"/>
    </row>
    <row r="132" spans="1:12" ht="29" x14ac:dyDescent="0.3">
      <c r="A132" s="37">
        <v>124</v>
      </c>
      <c r="B132" s="40" t="s">
        <v>627</v>
      </c>
      <c r="C132" s="38" t="s">
        <v>72</v>
      </c>
      <c r="D132" s="37" t="s">
        <v>12</v>
      </c>
      <c r="E132" s="39">
        <v>0</v>
      </c>
      <c r="F132" s="41">
        <v>1395</v>
      </c>
      <c r="G132" s="12"/>
      <c r="H132" s="12">
        <f t="shared" si="4"/>
        <v>0</v>
      </c>
      <c r="I132" s="12">
        <f t="shared" si="5"/>
        <v>0</v>
      </c>
      <c r="J132" s="12">
        <f t="shared" si="6"/>
        <v>0</v>
      </c>
      <c r="K132" s="13"/>
    </row>
    <row r="133" spans="1:12" ht="29" x14ac:dyDescent="0.3">
      <c r="A133" s="37">
        <v>125</v>
      </c>
      <c r="B133" s="40" t="s">
        <v>141</v>
      </c>
      <c r="C133" s="38" t="s">
        <v>140</v>
      </c>
      <c r="D133" s="37" t="s">
        <v>12</v>
      </c>
      <c r="E133" s="41">
        <v>26876</v>
      </c>
      <c r="F133" s="39">
        <v>0</v>
      </c>
      <c r="G133" s="12"/>
      <c r="H133" s="12">
        <f t="shared" si="4"/>
        <v>0</v>
      </c>
      <c r="I133" s="12">
        <f t="shared" si="5"/>
        <v>0</v>
      </c>
      <c r="J133" s="12">
        <f t="shared" si="6"/>
        <v>0</v>
      </c>
      <c r="K133" s="14"/>
    </row>
    <row r="134" spans="1:12" ht="29" x14ac:dyDescent="0.3">
      <c r="A134" s="37">
        <v>126</v>
      </c>
      <c r="B134" s="37" t="s">
        <v>142</v>
      </c>
      <c r="C134" s="38" t="s">
        <v>140</v>
      </c>
      <c r="D134" s="37" t="s">
        <v>12</v>
      </c>
      <c r="E134" s="39">
        <v>0</v>
      </c>
      <c r="F134" s="39">
        <v>3125</v>
      </c>
      <c r="G134" s="12"/>
      <c r="H134" s="12">
        <f t="shared" si="4"/>
        <v>0</v>
      </c>
      <c r="I134" s="12">
        <f t="shared" si="5"/>
        <v>0</v>
      </c>
      <c r="J134" s="12">
        <f t="shared" si="6"/>
        <v>0</v>
      </c>
      <c r="K134" s="14"/>
    </row>
    <row r="135" spans="1:12" ht="29" x14ac:dyDescent="0.3">
      <c r="A135" s="37">
        <v>127</v>
      </c>
      <c r="B135" s="40" t="s">
        <v>111</v>
      </c>
      <c r="C135" s="38" t="s">
        <v>110</v>
      </c>
      <c r="D135" s="37" t="s">
        <v>12</v>
      </c>
      <c r="E135" s="39">
        <v>12100</v>
      </c>
      <c r="F135" s="41">
        <v>0</v>
      </c>
      <c r="G135" s="12"/>
      <c r="H135" s="12">
        <f t="shared" si="4"/>
        <v>0</v>
      </c>
      <c r="I135" s="12">
        <f t="shared" si="5"/>
        <v>0</v>
      </c>
      <c r="J135" s="12">
        <f t="shared" si="6"/>
        <v>0</v>
      </c>
      <c r="K135" s="14"/>
    </row>
    <row r="136" spans="1:12" ht="29" x14ac:dyDescent="0.3">
      <c r="A136" s="37">
        <v>128</v>
      </c>
      <c r="B136" s="40" t="s">
        <v>112</v>
      </c>
      <c r="C136" s="38" t="s">
        <v>110</v>
      </c>
      <c r="D136" s="37" t="s">
        <v>12</v>
      </c>
      <c r="E136" s="41">
        <v>0</v>
      </c>
      <c r="F136" s="39">
        <v>3156</v>
      </c>
      <c r="G136" s="12"/>
      <c r="H136" s="12">
        <f t="shared" si="4"/>
        <v>0</v>
      </c>
      <c r="I136" s="12">
        <f t="shared" si="5"/>
        <v>0</v>
      </c>
      <c r="J136" s="12">
        <f t="shared" si="6"/>
        <v>0</v>
      </c>
      <c r="K136" s="14"/>
    </row>
    <row r="137" spans="1:12" ht="29" x14ac:dyDescent="0.3">
      <c r="A137" s="37">
        <v>129</v>
      </c>
      <c r="B137" s="37" t="s">
        <v>144</v>
      </c>
      <c r="C137" s="38" t="s">
        <v>143</v>
      </c>
      <c r="D137" s="37" t="s">
        <v>12</v>
      </c>
      <c r="E137" s="39">
        <v>55820</v>
      </c>
      <c r="F137" s="39">
        <v>0</v>
      </c>
      <c r="G137" s="12"/>
      <c r="H137" s="12">
        <f t="shared" si="4"/>
        <v>0</v>
      </c>
      <c r="I137" s="12">
        <f t="shared" si="5"/>
        <v>0</v>
      </c>
      <c r="J137" s="12">
        <f t="shared" si="6"/>
        <v>0</v>
      </c>
      <c r="K137" s="13"/>
      <c r="L137" s="32">
        <v>0</v>
      </c>
    </row>
    <row r="138" spans="1:12" ht="29" x14ac:dyDescent="0.3">
      <c r="A138" s="37">
        <v>130</v>
      </c>
      <c r="B138" s="40" t="s">
        <v>145</v>
      </c>
      <c r="C138" s="38" t="s">
        <v>143</v>
      </c>
      <c r="D138" s="37" t="s">
        <v>12</v>
      </c>
      <c r="E138" s="39">
        <v>0</v>
      </c>
      <c r="F138" s="41">
        <v>3125</v>
      </c>
      <c r="G138" s="12"/>
      <c r="H138" s="12">
        <f t="shared" ref="H138:H201" si="7">E138*G138</f>
        <v>0</v>
      </c>
      <c r="I138" s="12">
        <f t="shared" ref="I138:I201" si="8">F138*G138</f>
        <v>0</v>
      </c>
      <c r="J138" s="12">
        <f t="shared" ref="J138:J201" si="9">SUM(H138:I138)</f>
        <v>0</v>
      </c>
      <c r="K138" s="14"/>
    </row>
    <row r="139" spans="1:12" ht="29" x14ac:dyDescent="0.3">
      <c r="A139" s="37">
        <v>131</v>
      </c>
      <c r="B139" s="40" t="s">
        <v>114</v>
      </c>
      <c r="C139" s="38" t="s">
        <v>113</v>
      </c>
      <c r="D139" s="37" t="s">
        <v>12</v>
      </c>
      <c r="E139" s="41">
        <v>22500</v>
      </c>
      <c r="F139" s="39">
        <v>0</v>
      </c>
      <c r="G139" s="12"/>
      <c r="H139" s="12">
        <f t="shared" si="7"/>
        <v>0</v>
      </c>
      <c r="I139" s="12">
        <f t="shared" si="8"/>
        <v>0</v>
      </c>
      <c r="J139" s="12">
        <f t="shared" si="9"/>
        <v>0</v>
      </c>
      <c r="K139" s="14"/>
    </row>
    <row r="140" spans="1:12" ht="29" x14ac:dyDescent="0.3">
      <c r="A140" s="37">
        <v>132</v>
      </c>
      <c r="B140" s="37" t="s">
        <v>115</v>
      </c>
      <c r="C140" s="38" t="s">
        <v>113</v>
      </c>
      <c r="D140" s="37" t="s">
        <v>12</v>
      </c>
      <c r="E140" s="39">
        <v>0</v>
      </c>
      <c r="F140" s="39">
        <v>3125</v>
      </c>
      <c r="G140" s="12"/>
      <c r="H140" s="12">
        <f t="shared" si="7"/>
        <v>0</v>
      </c>
      <c r="I140" s="12">
        <f t="shared" si="8"/>
        <v>0</v>
      </c>
      <c r="J140" s="12">
        <f t="shared" si="9"/>
        <v>0</v>
      </c>
      <c r="K140" s="14"/>
    </row>
    <row r="141" spans="1:12" ht="14.5" x14ac:dyDescent="0.3">
      <c r="A141" s="37">
        <v>133</v>
      </c>
      <c r="B141" s="40" t="s">
        <v>861</v>
      </c>
      <c r="C141" s="38" t="s">
        <v>859</v>
      </c>
      <c r="D141" s="37" t="s">
        <v>860</v>
      </c>
      <c r="E141" s="39">
        <v>1530</v>
      </c>
      <c r="F141" s="41">
        <v>0</v>
      </c>
      <c r="G141" s="12"/>
      <c r="H141" s="12">
        <f t="shared" si="7"/>
        <v>0</v>
      </c>
      <c r="I141" s="12">
        <f t="shared" si="8"/>
        <v>0</v>
      </c>
      <c r="J141" s="12">
        <f t="shared" si="9"/>
        <v>0</v>
      </c>
      <c r="K141" s="13"/>
    </row>
    <row r="142" spans="1:12" ht="14.5" x14ac:dyDescent="0.3">
      <c r="A142" s="37">
        <v>134</v>
      </c>
      <c r="B142" s="40" t="s">
        <v>862</v>
      </c>
      <c r="C142" s="38" t="s">
        <v>859</v>
      </c>
      <c r="D142" s="37" t="s">
        <v>860</v>
      </c>
      <c r="E142" s="41">
        <v>0</v>
      </c>
      <c r="F142" s="39">
        <v>540</v>
      </c>
      <c r="G142" s="12"/>
      <c r="H142" s="12">
        <f t="shared" si="7"/>
        <v>0</v>
      </c>
      <c r="I142" s="12">
        <f t="shared" si="8"/>
        <v>0</v>
      </c>
      <c r="J142" s="12">
        <f t="shared" si="9"/>
        <v>0</v>
      </c>
      <c r="K142" s="14"/>
    </row>
    <row r="143" spans="1:12" ht="29" x14ac:dyDescent="0.3">
      <c r="A143" s="37">
        <v>135</v>
      </c>
      <c r="B143" s="37" t="s">
        <v>1059</v>
      </c>
      <c r="C143" s="38" t="s">
        <v>1058</v>
      </c>
      <c r="D143" s="37" t="s">
        <v>987</v>
      </c>
      <c r="E143" s="39">
        <v>0</v>
      </c>
      <c r="F143" s="39">
        <v>47624</v>
      </c>
      <c r="G143" s="12"/>
      <c r="H143" s="12">
        <f t="shared" si="7"/>
        <v>0</v>
      </c>
      <c r="I143" s="12">
        <f t="shared" si="8"/>
        <v>0</v>
      </c>
      <c r="J143" s="12">
        <f t="shared" si="9"/>
        <v>0</v>
      </c>
      <c r="K143" s="13"/>
      <c r="L143" s="32">
        <v>0</v>
      </c>
    </row>
    <row r="144" spans="1:12" ht="29" x14ac:dyDescent="0.3">
      <c r="A144" s="37">
        <v>136</v>
      </c>
      <c r="B144" s="40" t="s">
        <v>417</v>
      </c>
      <c r="C144" s="38" t="s">
        <v>416</v>
      </c>
      <c r="D144" s="37" t="s">
        <v>12</v>
      </c>
      <c r="E144" s="39">
        <v>8625</v>
      </c>
      <c r="F144" s="41">
        <v>0</v>
      </c>
      <c r="G144" s="12"/>
      <c r="H144" s="12">
        <f t="shared" si="7"/>
        <v>0</v>
      </c>
      <c r="I144" s="12">
        <f t="shared" si="8"/>
        <v>0</v>
      </c>
      <c r="J144" s="12">
        <f t="shared" si="9"/>
        <v>0</v>
      </c>
      <c r="K144" s="14"/>
    </row>
    <row r="145" spans="1:24" ht="29" x14ac:dyDescent="0.3">
      <c r="A145" s="37">
        <v>137</v>
      </c>
      <c r="B145" s="40" t="s">
        <v>418</v>
      </c>
      <c r="C145" s="38" t="s">
        <v>416</v>
      </c>
      <c r="D145" s="37" t="s">
        <v>12</v>
      </c>
      <c r="E145" s="41">
        <v>0</v>
      </c>
      <c r="F145" s="39">
        <v>1563</v>
      </c>
      <c r="G145" s="12"/>
      <c r="H145" s="12">
        <f t="shared" si="7"/>
        <v>0</v>
      </c>
      <c r="I145" s="12">
        <f t="shared" si="8"/>
        <v>0</v>
      </c>
      <c r="J145" s="12">
        <f t="shared" si="9"/>
        <v>0</v>
      </c>
      <c r="K145" s="13"/>
    </row>
    <row r="146" spans="1:24" ht="29" x14ac:dyDescent="0.3">
      <c r="A146" s="37">
        <v>138</v>
      </c>
      <c r="B146" s="37" t="s">
        <v>420</v>
      </c>
      <c r="C146" s="38" t="s">
        <v>419</v>
      </c>
      <c r="D146" s="37" t="s">
        <v>12</v>
      </c>
      <c r="E146" s="39">
        <v>26747</v>
      </c>
      <c r="F146" s="39">
        <v>0</v>
      </c>
      <c r="G146" s="12"/>
      <c r="H146" s="12">
        <f t="shared" si="7"/>
        <v>0</v>
      </c>
      <c r="I146" s="12">
        <f t="shared" si="8"/>
        <v>0</v>
      </c>
      <c r="J146" s="12">
        <f t="shared" si="9"/>
        <v>0</v>
      </c>
      <c r="K146" s="14"/>
    </row>
    <row r="147" spans="1:24" ht="29" x14ac:dyDescent="0.3">
      <c r="A147" s="37">
        <v>139</v>
      </c>
      <c r="B147" s="40" t="s">
        <v>421</v>
      </c>
      <c r="C147" s="38" t="s">
        <v>419</v>
      </c>
      <c r="D147" s="37" t="s">
        <v>12</v>
      </c>
      <c r="E147" s="39">
        <v>0</v>
      </c>
      <c r="F147" s="41">
        <v>1929</v>
      </c>
      <c r="G147" s="12"/>
      <c r="H147" s="12">
        <f t="shared" si="7"/>
        <v>0</v>
      </c>
      <c r="I147" s="12">
        <f t="shared" si="8"/>
        <v>0</v>
      </c>
      <c r="J147" s="12">
        <f t="shared" si="9"/>
        <v>0</v>
      </c>
      <c r="K147" s="13"/>
    </row>
    <row r="148" spans="1:24" ht="29" x14ac:dyDescent="0.3">
      <c r="A148" s="37">
        <v>140</v>
      </c>
      <c r="B148" s="40" t="s">
        <v>423</v>
      </c>
      <c r="C148" s="38" t="s">
        <v>422</v>
      </c>
      <c r="D148" s="37" t="s">
        <v>12</v>
      </c>
      <c r="E148" s="41">
        <v>9270</v>
      </c>
      <c r="F148" s="39">
        <v>0</v>
      </c>
      <c r="G148" s="12"/>
      <c r="H148" s="12">
        <f t="shared" si="7"/>
        <v>0</v>
      </c>
      <c r="I148" s="12">
        <f t="shared" si="8"/>
        <v>0</v>
      </c>
      <c r="J148" s="12">
        <f t="shared" si="9"/>
        <v>0</v>
      </c>
      <c r="K148" s="14"/>
    </row>
    <row r="149" spans="1:24" ht="29" x14ac:dyDescent="0.3">
      <c r="A149" s="37">
        <v>141</v>
      </c>
      <c r="B149" s="37" t="s">
        <v>424</v>
      </c>
      <c r="C149" s="38" t="s">
        <v>422</v>
      </c>
      <c r="D149" s="37" t="s">
        <v>12</v>
      </c>
      <c r="E149" s="39">
        <v>0</v>
      </c>
      <c r="F149" s="39">
        <v>1563</v>
      </c>
      <c r="G149" s="12"/>
      <c r="H149" s="12">
        <f t="shared" si="7"/>
        <v>0</v>
      </c>
      <c r="I149" s="12">
        <f t="shared" si="8"/>
        <v>0</v>
      </c>
      <c r="J149" s="12">
        <f t="shared" si="9"/>
        <v>0</v>
      </c>
      <c r="K149" s="14"/>
    </row>
    <row r="150" spans="1:24" ht="29" x14ac:dyDescent="0.3">
      <c r="A150" s="37">
        <v>142</v>
      </c>
      <c r="B150" s="40" t="s">
        <v>426</v>
      </c>
      <c r="C150" s="38" t="s">
        <v>425</v>
      </c>
      <c r="D150" s="37" t="s">
        <v>12</v>
      </c>
      <c r="E150" s="39">
        <v>19439</v>
      </c>
      <c r="F150" s="41">
        <v>0</v>
      </c>
      <c r="G150" s="12"/>
      <c r="H150" s="12">
        <f t="shared" si="7"/>
        <v>0</v>
      </c>
      <c r="I150" s="12">
        <f t="shared" si="8"/>
        <v>0</v>
      </c>
      <c r="J150" s="12">
        <f t="shared" si="9"/>
        <v>0</v>
      </c>
      <c r="K150" s="14"/>
    </row>
    <row r="151" spans="1:24" s="18" customFormat="1" ht="29" x14ac:dyDescent="0.3">
      <c r="A151" s="37">
        <v>143</v>
      </c>
      <c r="B151" s="40" t="s">
        <v>427</v>
      </c>
      <c r="C151" s="38" t="s">
        <v>425</v>
      </c>
      <c r="D151" s="37" t="s">
        <v>12</v>
      </c>
      <c r="E151" s="41">
        <v>0</v>
      </c>
      <c r="F151" s="39">
        <v>1921</v>
      </c>
      <c r="G151" s="12"/>
      <c r="H151" s="12">
        <f t="shared" si="7"/>
        <v>0</v>
      </c>
      <c r="I151" s="12">
        <f t="shared" si="8"/>
        <v>0</v>
      </c>
      <c r="J151" s="12">
        <f t="shared" si="9"/>
        <v>0</v>
      </c>
      <c r="K151" s="17"/>
      <c r="L151" s="32"/>
      <c r="M151" s="33"/>
      <c r="N151" s="34"/>
      <c r="O151" s="34"/>
      <c r="P151" s="34"/>
      <c r="Q151" s="34"/>
      <c r="R151" s="34"/>
      <c r="S151" s="34"/>
      <c r="T151" s="34"/>
      <c r="U151" s="34"/>
      <c r="V151" s="34"/>
      <c r="W151" s="34"/>
      <c r="X151" s="34"/>
    </row>
    <row r="152" spans="1:24" s="19" customFormat="1" ht="29" x14ac:dyDescent="0.35">
      <c r="A152" s="37">
        <v>144</v>
      </c>
      <c r="B152" s="37" t="s">
        <v>429</v>
      </c>
      <c r="C152" s="38" t="s">
        <v>428</v>
      </c>
      <c r="D152" s="37" t="s">
        <v>12</v>
      </c>
      <c r="E152" s="39">
        <v>21191</v>
      </c>
      <c r="F152" s="39">
        <v>0</v>
      </c>
      <c r="G152" s="12"/>
      <c r="H152" s="12">
        <f t="shared" si="7"/>
        <v>0</v>
      </c>
      <c r="I152" s="12">
        <f t="shared" si="8"/>
        <v>0</v>
      </c>
      <c r="J152" s="12">
        <f t="shared" si="9"/>
        <v>0</v>
      </c>
      <c r="K152" s="13"/>
      <c r="L152" s="32"/>
      <c r="M152" s="33"/>
      <c r="N152" s="33"/>
      <c r="O152" s="33"/>
      <c r="P152" s="33"/>
      <c r="Q152" s="33"/>
      <c r="R152" s="33"/>
      <c r="S152" s="33"/>
      <c r="T152" s="33"/>
      <c r="U152" s="33"/>
      <c r="V152" s="33"/>
      <c r="W152" s="33"/>
      <c r="X152" s="33"/>
    </row>
    <row r="153" spans="1:24" ht="29" x14ac:dyDescent="0.3">
      <c r="A153" s="37">
        <v>145</v>
      </c>
      <c r="B153" s="40" t="s">
        <v>430</v>
      </c>
      <c r="C153" s="38" t="s">
        <v>428</v>
      </c>
      <c r="D153" s="37" t="s">
        <v>12</v>
      </c>
      <c r="E153" s="39">
        <v>0</v>
      </c>
      <c r="F153" s="41">
        <v>1478</v>
      </c>
      <c r="G153" s="12"/>
      <c r="H153" s="12">
        <f t="shared" si="7"/>
        <v>0</v>
      </c>
      <c r="I153" s="12">
        <f t="shared" si="8"/>
        <v>0</v>
      </c>
      <c r="J153" s="12">
        <f t="shared" si="9"/>
        <v>0</v>
      </c>
      <c r="K153" s="13"/>
      <c r="L153" s="32">
        <v>0</v>
      </c>
    </row>
    <row r="154" spans="1:24" ht="29" x14ac:dyDescent="0.3">
      <c r="A154" s="37">
        <v>146</v>
      </c>
      <c r="B154" s="40" t="s">
        <v>432</v>
      </c>
      <c r="C154" s="38" t="s">
        <v>431</v>
      </c>
      <c r="D154" s="37" t="s">
        <v>12</v>
      </c>
      <c r="E154" s="41">
        <v>42382</v>
      </c>
      <c r="F154" s="39">
        <v>0</v>
      </c>
      <c r="G154" s="12"/>
      <c r="H154" s="12">
        <f t="shared" si="7"/>
        <v>0</v>
      </c>
      <c r="I154" s="12">
        <f t="shared" si="8"/>
        <v>0</v>
      </c>
      <c r="J154" s="12">
        <f t="shared" si="9"/>
        <v>0</v>
      </c>
      <c r="K154" s="13"/>
    </row>
    <row r="155" spans="1:24" ht="29" x14ac:dyDescent="0.3">
      <c r="A155" s="37">
        <v>147</v>
      </c>
      <c r="B155" s="37" t="s">
        <v>433</v>
      </c>
      <c r="C155" s="38" t="s">
        <v>431</v>
      </c>
      <c r="D155" s="37" t="s">
        <v>12</v>
      </c>
      <c r="E155" s="39">
        <v>0</v>
      </c>
      <c r="F155" s="39">
        <v>1921</v>
      </c>
      <c r="G155" s="12"/>
      <c r="H155" s="12">
        <f t="shared" si="7"/>
        <v>0</v>
      </c>
      <c r="I155" s="12">
        <f t="shared" si="8"/>
        <v>0</v>
      </c>
      <c r="J155" s="12">
        <f t="shared" si="9"/>
        <v>0</v>
      </c>
      <c r="K155" s="13"/>
    </row>
    <row r="156" spans="1:24" ht="14.5" x14ac:dyDescent="0.3">
      <c r="A156" s="37">
        <v>148</v>
      </c>
      <c r="B156" s="40" t="s">
        <v>927</v>
      </c>
      <c r="C156" s="38" t="s">
        <v>926</v>
      </c>
      <c r="D156" s="37" t="s">
        <v>13</v>
      </c>
      <c r="E156" s="39">
        <v>32000</v>
      </c>
      <c r="F156" s="41">
        <v>0</v>
      </c>
      <c r="G156" s="12"/>
      <c r="H156" s="12">
        <f t="shared" si="7"/>
        <v>0</v>
      </c>
      <c r="I156" s="12">
        <f t="shared" si="8"/>
        <v>0</v>
      </c>
      <c r="J156" s="12">
        <f t="shared" si="9"/>
        <v>0</v>
      </c>
      <c r="K156" s="14"/>
    </row>
    <row r="157" spans="1:24" ht="14.5" x14ac:dyDescent="0.3">
      <c r="A157" s="37">
        <v>149</v>
      </c>
      <c r="B157" s="40" t="s">
        <v>928</v>
      </c>
      <c r="C157" s="38" t="s">
        <v>926</v>
      </c>
      <c r="D157" s="37" t="s">
        <v>13</v>
      </c>
      <c r="E157" s="41">
        <v>0</v>
      </c>
      <c r="F157" s="39">
        <v>44551</v>
      </c>
      <c r="G157" s="12"/>
      <c r="H157" s="12">
        <f t="shared" si="7"/>
        <v>0</v>
      </c>
      <c r="I157" s="12">
        <f t="shared" si="8"/>
        <v>0</v>
      </c>
      <c r="J157" s="12">
        <f t="shared" si="9"/>
        <v>0</v>
      </c>
      <c r="K157" s="14"/>
    </row>
    <row r="158" spans="1:24" ht="29" x14ac:dyDescent="0.3">
      <c r="A158" s="37">
        <v>150</v>
      </c>
      <c r="B158" s="37" t="s">
        <v>435</v>
      </c>
      <c r="C158" s="38" t="s">
        <v>434</v>
      </c>
      <c r="D158" s="37" t="s">
        <v>12</v>
      </c>
      <c r="E158" s="39">
        <v>12000</v>
      </c>
      <c r="F158" s="39">
        <v>0</v>
      </c>
      <c r="G158" s="12"/>
      <c r="H158" s="12">
        <f t="shared" si="7"/>
        <v>0</v>
      </c>
      <c r="I158" s="12">
        <f t="shared" si="8"/>
        <v>0</v>
      </c>
      <c r="J158" s="12">
        <f t="shared" si="9"/>
        <v>0</v>
      </c>
      <c r="K158" s="14"/>
    </row>
    <row r="159" spans="1:24" ht="29" x14ac:dyDescent="0.3">
      <c r="A159" s="37">
        <v>151</v>
      </c>
      <c r="B159" s="40" t="s">
        <v>436</v>
      </c>
      <c r="C159" s="38" t="s">
        <v>434</v>
      </c>
      <c r="D159" s="37" t="s">
        <v>12</v>
      </c>
      <c r="E159" s="39">
        <v>0</v>
      </c>
      <c r="F159" s="41">
        <v>1460</v>
      </c>
      <c r="G159" s="12"/>
      <c r="H159" s="12">
        <f t="shared" si="7"/>
        <v>0</v>
      </c>
      <c r="I159" s="12">
        <f t="shared" si="8"/>
        <v>0</v>
      </c>
      <c r="J159" s="12">
        <f t="shared" si="9"/>
        <v>0</v>
      </c>
      <c r="K159" s="13"/>
    </row>
    <row r="160" spans="1:24" ht="43.5" x14ac:dyDescent="0.3">
      <c r="A160" s="37">
        <v>152</v>
      </c>
      <c r="B160" s="40" t="s">
        <v>438</v>
      </c>
      <c r="C160" s="38" t="s">
        <v>437</v>
      </c>
      <c r="D160" s="37" t="s">
        <v>12</v>
      </c>
      <c r="E160" s="41">
        <v>310122</v>
      </c>
      <c r="F160" s="39">
        <v>0</v>
      </c>
      <c r="G160" s="12"/>
      <c r="H160" s="12">
        <f t="shared" si="7"/>
        <v>0</v>
      </c>
      <c r="I160" s="12">
        <f t="shared" si="8"/>
        <v>0</v>
      </c>
      <c r="J160" s="12">
        <f t="shared" si="9"/>
        <v>0</v>
      </c>
      <c r="K160" s="14"/>
    </row>
    <row r="161" spans="1:24" s="16" customFormat="1" ht="43.5" x14ac:dyDescent="0.35">
      <c r="A161" s="37">
        <v>153</v>
      </c>
      <c r="B161" s="37" t="s">
        <v>439</v>
      </c>
      <c r="C161" s="38" t="s">
        <v>437</v>
      </c>
      <c r="D161" s="37" t="s">
        <v>12</v>
      </c>
      <c r="E161" s="39">
        <v>0</v>
      </c>
      <c r="F161" s="39">
        <v>64467</v>
      </c>
      <c r="G161" s="12"/>
      <c r="H161" s="12">
        <f t="shared" si="7"/>
        <v>0</v>
      </c>
      <c r="I161" s="12">
        <f t="shared" si="8"/>
        <v>0</v>
      </c>
      <c r="J161" s="12">
        <f t="shared" si="9"/>
        <v>0</v>
      </c>
      <c r="K161" s="15"/>
      <c r="L161" s="32"/>
      <c r="M161" s="33"/>
      <c r="N161" s="33"/>
      <c r="O161" s="33"/>
      <c r="P161" s="33"/>
      <c r="Q161" s="33"/>
      <c r="R161" s="33"/>
      <c r="S161" s="33"/>
      <c r="T161" s="33"/>
      <c r="U161" s="33"/>
      <c r="V161" s="33"/>
      <c r="W161" s="33"/>
      <c r="X161" s="33"/>
    </row>
    <row r="162" spans="1:24" ht="43.5" x14ac:dyDescent="0.3">
      <c r="A162" s="37">
        <v>154</v>
      </c>
      <c r="B162" s="40" t="s">
        <v>441</v>
      </c>
      <c r="C162" s="38" t="s">
        <v>440</v>
      </c>
      <c r="D162" s="37" t="s">
        <v>12</v>
      </c>
      <c r="E162" s="39">
        <v>620246</v>
      </c>
      <c r="F162" s="41">
        <v>0</v>
      </c>
      <c r="G162" s="12"/>
      <c r="H162" s="12">
        <f t="shared" si="7"/>
        <v>0</v>
      </c>
      <c r="I162" s="12">
        <f t="shared" si="8"/>
        <v>0</v>
      </c>
      <c r="J162" s="12">
        <f t="shared" si="9"/>
        <v>0</v>
      </c>
      <c r="K162" s="14"/>
    </row>
    <row r="163" spans="1:24" ht="43.5" x14ac:dyDescent="0.3">
      <c r="A163" s="37">
        <v>155</v>
      </c>
      <c r="B163" s="40" t="s">
        <v>442</v>
      </c>
      <c r="C163" s="38" t="s">
        <v>440</v>
      </c>
      <c r="D163" s="37" t="s">
        <v>12</v>
      </c>
      <c r="E163" s="41">
        <v>0</v>
      </c>
      <c r="F163" s="39">
        <v>66875</v>
      </c>
      <c r="G163" s="12"/>
      <c r="H163" s="12">
        <f t="shared" si="7"/>
        <v>0</v>
      </c>
      <c r="I163" s="12">
        <f t="shared" si="8"/>
        <v>0</v>
      </c>
      <c r="J163" s="12">
        <f t="shared" si="9"/>
        <v>0</v>
      </c>
      <c r="K163" s="14"/>
    </row>
    <row r="164" spans="1:24" ht="43.5" x14ac:dyDescent="0.3">
      <c r="A164" s="37">
        <v>156</v>
      </c>
      <c r="B164" s="37" t="s">
        <v>444</v>
      </c>
      <c r="C164" s="38" t="s">
        <v>443</v>
      </c>
      <c r="D164" s="37" t="s">
        <v>12</v>
      </c>
      <c r="E164" s="39">
        <v>180898</v>
      </c>
      <c r="F164" s="39">
        <v>0</v>
      </c>
      <c r="G164" s="12"/>
      <c r="H164" s="12">
        <f t="shared" si="7"/>
        <v>0</v>
      </c>
      <c r="I164" s="12">
        <f t="shared" si="8"/>
        <v>0</v>
      </c>
      <c r="J164" s="12">
        <f t="shared" si="9"/>
        <v>0</v>
      </c>
      <c r="K164" s="14"/>
    </row>
    <row r="165" spans="1:24" ht="43.5" x14ac:dyDescent="0.3">
      <c r="A165" s="37">
        <v>157</v>
      </c>
      <c r="B165" s="40" t="s">
        <v>445</v>
      </c>
      <c r="C165" s="38" t="s">
        <v>443</v>
      </c>
      <c r="D165" s="37" t="s">
        <v>12</v>
      </c>
      <c r="E165" s="39">
        <v>0</v>
      </c>
      <c r="F165" s="41">
        <v>33195</v>
      </c>
      <c r="G165" s="12"/>
      <c r="H165" s="12">
        <f t="shared" si="7"/>
        <v>0</v>
      </c>
      <c r="I165" s="12">
        <f t="shared" si="8"/>
        <v>0</v>
      </c>
      <c r="J165" s="12">
        <f t="shared" si="9"/>
        <v>0</v>
      </c>
      <c r="K165" s="14"/>
    </row>
    <row r="166" spans="1:24" ht="43.5" x14ac:dyDescent="0.3">
      <c r="A166" s="37">
        <v>158</v>
      </c>
      <c r="B166" s="40" t="s">
        <v>447</v>
      </c>
      <c r="C166" s="38" t="s">
        <v>446</v>
      </c>
      <c r="D166" s="37" t="s">
        <v>12</v>
      </c>
      <c r="E166" s="41">
        <v>359449</v>
      </c>
      <c r="F166" s="39">
        <v>0</v>
      </c>
      <c r="G166" s="12"/>
      <c r="H166" s="12">
        <f t="shared" si="7"/>
        <v>0</v>
      </c>
      <c r="I166" s="12">
        <f t="shared" si="8"/>
        <v>0</v>
      </c>
      <c r="J166" s="12">
        <f t="shared" si="9"/>
        <v>0</v>
      </c>
      <c r="K166" s="14"/>
    </row>
    <row r="167" spans="1:24" ht="43.5" x14ac:dyDescent="0.3">
      <c r="A167" s="37">
        <v>159</v>
      </c>
      <c r="B167" s="37" t="s">
        <v>448</v>
      </c>
      <c r="C167" s="38" t="s">
        <v>446</v>
      </c>
      <c r="D167" s="37" t="s">
        <v>12</v>
      </c>
      <c r="E167" s="39">
        <v>0</v>
      </c>
      <c r="F167" s="39">
        <v>33195</v>
      </c>
      <c r="G167" s="12"/>
      <c r="H167" s="12">
        <f t="shared" si="7"/>
        <v>0</v>
      </c>
      <c r="I167" s="12">
        <f t="shared" si="8"/>
        <v>0</v>
      </c>
      <c r="J167" s="12">
        <f t="shared" si="9"/>
        <v>0</v>
      </c>
      <c r="K167" s="14"/>
    </row>
    <row r="168" spans="1:24" ht="29" x14ac:dyDescent="0.3">
      <c r="A168" s="37">
        <v>160</v>
      </c>
      <c r="B168" s="40" t="s">
        <v>450</v>
      </c>
      <c r="C168" s="38" t="s">
        <v>449</v>
      </c>
      <c r="D168" s="37" t="s">
        <v>12</v>
      </c>
      <c r="E168" s="39">
        <v>0</v>
      </c>
      <c r="F168" s="41">
        <v>31500</v>
      </c>
      <c r="G168" s="12"/>
      <c r="H168" s="12">
        <f t="shared" si="7"/>
        <v>0</v>
      </c>
      <c r="I168" s="12">
        <f t="shared" si="8"/>
        <v>0</v>
      </c>
      <c r="J168" s="12">
        <f t="shared" si="9"/>
        <v>0</v>
      </c>
      <c r="K168" s="14"/>
    </row>
    <row r="169" spans="1:24" ht="29" x14ac:dyDescent="0.3">
      <c r="A169" s="37">
        <v>161</v>
      </c>
      <c r="B169" s="40" t="s">
        <v>452</v>
      </c>
      <c r="C169" s="38" t="s">
        <v>451</v>
      </c>
      <c r="D169" s="37" t="s">
        <v>12</v>
      </c>
      <c r="E169" s="41">
        <v>0</v>
      </c>
      <c r="F169" s="39">
        <v>33132</v>
      </c>
      <c r="G169" s="12"/>
      <c r="H169" s="12">
        <f t="shared" si="7"/>
        <v>0</v>
      </c>
      <c r="I169" s="12">
        <f t="shared" si="8"/>
        <v>0</v>
      </c>
      <c r="J169" s="12">
        <f t="shared" si="9"/>
        <v>0</v>
      </c>
      <c r="K169" s="14"/>
    </row>
    <row r="170" spans="1:24" ht="29" x14ac:dyDescent="0.3">
      <c r="A170" s="37">
        <v>162</v>
      </c>
      <c r="B170" s="37" t="s">
        <v>408</v>
      </c>
      <c r="C170" s="38" t="s">
        <v>407</v>
      </c>
      <c r="D170" s="37" t="s">
        <v>21</v>
      </c>
      <c r="E170" s="39">
        <v>930368</v>
      </c>
      <c r="F170" s="39">
        <v>0</v>
      </c>
      <c r="G170" s="12"/>
      <c r="H170" s="12">
        <f t="shared" si="7"/>
        <v>0</v>
      </c>
      <c r="I170" s="12">
        <f t="shared" si="8"/>
        <v>0</v>
      </c>
      <c r="J170" s="12">
        <f t="shared" si="9"/>
        <v>0</v>
      </c>
      <c r="K170" s="14"/>
    </row>
    <row r="171" spans="1:24" ht="29" x14ac:dyDescent="0.3">
      <c r="A171" s="37">
        <v>163</v>
      </c>
      <c r="B171" s="40" t="s">
        <v>409</v>
      </c>
      <c r="C171" s="38" t="s">
        <v>407</v>
      </c>
      <c r="D171" s="37" t="s">
        <v>21</v>
      </c>
      <c r="E171" s="39">
        <v>0</v>
      </c>
      <c r="F171" s="41">
        <v>20021587</v>
      </c>
      <c r="G171" s="12"/>
      <c r="H171" s="12">
        <f t="shared" si="7"/>
        <v>0</v>
      </c>
      <c r="I171" s="12">
        <f t="shared" si="8"/>
        <v>0</v>
      </c>
      <c r="J171" s="12">
        <f t="shared" si="9"/>
        <v>0</v>
      </c>
      <c r="K171" s="14"/>
    </row>
    <row r="172" spans="1:24" ht="29" x14ac:dyDescent="0.3">
      <c r="A172" s="37">
        <v>164</v>
      </c>
      <c r="B172" s="40" t="s">
        <v>411</v>
      </c>
      <c r="C172" s="38" t="s">
        <v>410</v>
      </c>
      <c r="D172" s="37" t="s">
        <v>21</v>
      </c>
      <c r="E172" s="41">
        <v>1860738</v>
      </c>
      <c r="F172" s="39">
        <v>0</v>
      </c>
      <c r="G172" s="12"/>
      <c r="H172" s="12">
        <f t="shared" si="7"/>
        <v>0</v>
      </c>
      <c r="I172" s="12">
        <f t="shared" si="8"/>
        <v>0</v>
      </c>
      <c r="J172" s="12">
        <f t="shared" si="9"/>
        <v>0</v>
      </c>
      <c r="K172" s="14"/>
    </row>
    <row r="173" spans="1:24" ht="29" x14ac:dyDescent="0.3">
      <c r="A173" s="37">
        <v>165</v>
      </c>
      <c r="B173" s="37" t="s">
        <v>412</v>
      </c>
      <c r="C173" s="38" t="s">
        <v>410</v>
      </c>
      <c r="D173" s="37" t="s">
        <v>21</v>
      </c>
      <c r="E173" s="39">
        <v>0</v>
      </c>
      <c r="F173" s="39">
        <v>30032380</v>
      </c>
      <c r="G173" s="12"/>
      <c r="H173" s="12">
        <f t="shared" si="7"/>
        <v>0</v>
      </c>
      <c r="I173" s="12">
        <f t="shared" si="8"/>
        <v>0</v>
      </c>
      <c r="J173" s="12">
        <f t="shared" si="9"/>
        <v>0</v>
      </c>
      <c r="K173" s="14"/>
    </row>
    <row r="174" spans="1:24" ht="29" x14ac:dyDescent="0.3">
      <c r="A174" s="37">
        <v>166</v>
      </c>
      <c r="B174" s="40" t="s">
        <v>414</v>
      </c>
      <c r="C174" s="38" t="s">
        <v>413</v>
      </c>
      <c r="D174" s="37" t="s">
        <v>21</v>
      </c>
      <c r="E174" s="39">
        <v>3721474</v>
      </c>
      <c r="F174" s="41">
        <v>0</v>
      </c>
      <c r="G174" s="12"/>
      <c r="H174" s="12">
        <f t="shared" si="7"/>
        <v>0</v>
      </c>
      <c r="I174" s="12">
        <f t="shared" si="8"/>
        <v>0</v>
      </c>
      <c r="J174" s="12">
        <f t="shared" si="9"/>
        <v>0</v>
      </c>
      <c r="K174" s="14"/>
    </row>
    <row r="175" spans="1:24" ht="29" x14ac:dyDescent="0.3">
      <c r="A175" s="37">
        <v>167</v>
      </c>
      <c r="B175" s="40" t="s">
        <v>415</v>
      </c>
      <c r="C175" s="38" t="s">
        <v>413</v>
      </c>
      <c r="D175" s="37" t="s">
        <v>21</v>
      </c>
      <c r="E175" s="41">
        <v>0</v>
      </c>
      <c r="F175" s="39">
        <v>40043173</v>
      </c>
      <c r="G175" s="12"/>
      <c r="H175" s="12">
        <f t="shared" si="7"/>
        <v>0</v>
      </c>
      <c r="I175" s="12">
        <f t="shared" si="8"/>
        <v>0</v>
      </c>
      <c r="J175" s="12">
        <f t="shared" si="9"/>
        <v>0</v>
      </c>
      <c r="K175" s="14"/>
    </row>
    <row r="176" spans="1:24" ht="43.5" x14ac:dyDescent="0.3">
      <c r="A176" s="37">
        <v>168</v>
      </c>
      <c r="B176" s="37" t="s">
        <v>384</v>
      </c>
      <c r="C176" s="38" t="s">
        <v>383</v>
      </c>
      <c r="D176" s="37" t="s">
        <v>12</v>
      </c>
      <c r="E176" s="39">
        <v>399525</v>
      </c>
      <c r="F176" s="39">
        <v>0</v>
      </c>
      <c r="G176" s="12"/>
      <c r="H176" s="12">
        <f t="shared" si="7"/>
        <v>0</v>
      </c>
      <c r="I176" s="12">
        <f t="shared" si="8"/>
        <v>0</v>
      </c>
      <c r="J176" s="12">
        <f t="shared" si="9"/>
        <v>0</v>
      </c>
      <c r="K176" s="14"/>
    </row>
    <row r="177" spans="1:24" ht="43.5" x14ac:dyDescent="0.3">
      <c r="A177" s="37">
        <v>169</v>
      </c>
      <c r="B177" s="40" t="s">
        <v>385</v>
      </c>
      <c r="C177" s="38" t="s">
        <v>383</v>
      </c>
      <c r="D177" s="37" t="s">
        <v>12</v>
      </c>
      <c r="E177" s="39">
        <v>0</v>
      </c>
      <c r="F177" s="41">
        <v>218056</v>
      </c>
      <c r="G177" s="12"/>
      <c r="H177" s="12">
        <f t="shared" si="7"/>
        <v>0</v>
      </c>
      <c r="I177" s="12">
        <f t="shared" si="8"/>
        <v>0</v>
      </c>
      <c r="J177" s="12">
        <f t="shared" si="9"/>
        <v>0</v>
      </c>
      <c r="K177" s="14"/>
    </row>
    <row r="178" spans="1:24" ht="43.5" x14ac:dyDescent="0.3">
      <c r="A178" s="37">
        <v>170</v>
      </c>
      <c r="B178" s="40" t="s">
        <v>387</v>
      </c>
      <c r="C178" s="38" t="s">
        <v>386</v>
      </c>
      <c r="D178" s="37" t="s">
        <v>12</v>
      </c>
      <c r="E178" s="41">
        <v>798978</v>
      </c>
      <c r="F178" s="39">
        <v>0</v>
      </c>
      <c r="G178" s="12"/>
      <c r="H178" s="12">
        <f t="shared" si="7"/>
        <v>0</v>
      </c>
      <c r="I178" s="12">
        <f t="shared" si="8"/>
        <v>0</v>
      </c>
      <c r="J178" s="12">
        <f t="shared" si="9"/>
        <v>0</v>
      </c>
      <c r="K178" s="14"/>
    </row>
    <row r="179" spans="1:24" ht="43.5" x14ac:dyDescent="0.3">
      <c r="A179" s="37">
        <v>171</v>
      </c>
      <c r="B179" s="37" t="s">
        <v>388</v>
      </c>
      <c r="C179" s="38" t="s">
        <v>386</v>
      </c>
      <c r="D179" s="37" t="s">
        <v>12</v>
      </c>
      <c r="E179" s="39">
        <v>0</v>
      </c>
      <c r="F179" s="39">
        <v>436110</v>
      </c>
      <c r="G179" s="12"/>
      <c r="H179" s="12">
        <f t="shared" si="7"/>
        <v>0</v>
      </c>
      <c r="I179" s="12">
        <f t="shared" si="8"/>
        <v>0</v>
      </c>
      <c r="J179" s="12">
        <f t="shared" si="9"/>
        <v>0</v>
      </c>
      <c r="K179" s="14"/>
    </row>
    <row r="180" spans="1:24" ht="29" x14ac:dyDescent="0.3">
      <c r="A180" s="37">
        <v>172</v>
      </c>
      <c r="B180" s="40" t="s">
        <v>390</v>
      </c>
      <c r="C180" s="38" t="s">
        <v>389</v>
      </c>
      <c r="D180" s="37" t="s">
        <v>12</v>
      </c>
      <c r="E180" s="39">
        <v>397975</v>
      </c>
      <c r="F180" s="41">
        <v>0</v>
      </c>
      <c r="G180" s="12"/>
      <c r="H180" s="12">
        <f t="shared" si="7"/>
        <v>0</v>
      </c>
      <c r="I180" s="12">
        <f t="shared" si="8"/>
        <v>0</v>
      </c>
      <c r="J180" s="12">
        <f t="shared" si="9"/>
        <v>0</v>
      </c>
      <c r="K180" s="14"/>
    </row>
    <row r="181" spans="1:24" ht="29" x14ac:dyDescent="0.3">
      <c r="A181" s="37">
        <v>173</v>
      </c>
      <c r="B181" s="40" t="s">
        <v>391</v>
      </c>
      <c r="C181" s="38" t="s">
        <v>389</v>
      </c>
      <c r="D181" s="37" t="s">
        <v>12</v>
      </c>
      <c r="E181" s="41">
        <v>0</v>
      </c>
      <c r="F181" s="39">
        <v>218056</v>
      </c>
      <c r="G181" s="12"/>
      <c r="H181" s="12">
        <f t="shared" si="7"/>
        <v>0</v>
      </c>
      <c r="I181" s="12">
        <f t="shared" si="8"/>
        <v>0</v>
      </c>
      <c r="J181" s="12">
        <f t="shared" si="9"/>
        <v>0</v>
      </c>
      <c r="K181" s="14"/>
    </row>
    <row r="182" spans="1:24" ht="29" x14ac:dyDescent="0.3">
      <c r="A182" s="37">
        <v>174</v>
      </c>
      <c r="B182" s="37" t="s">
        <v>393</v>
      </c>
      <c r="C182" s="38" t="s">
        <v>392</v>
      </c>
      <c r="D182" s="37" t="s">
        <v>12</v>
      </c>
      <c r="E182" s="39">
        <v>795949</v>
      </c>
      <c r="F182" s="39">
        <v>0</v>
      </c>
      <c r="G182" s="12"/>
      <c r="H182" s="12">
        <f t="shared" si="7"/>
        <v>0</v>
      </c>
      <c r="I182" s="12">
        <f t="shared" si="8"/>
        <v>0</v>
      </c>
      <c r="J182" s="12">
        <f t="shared" si="9"/>
        <v>0</v>
      </c>
      <c r="K182" s="14"/>
    </row>
    <row r="183" spans="1:24" ht="29" x14ac:dyDescent="0.3">
      <c r="A183" s="37">
        <v>175</v>
      </c>
      <c r="B183" s="40" t="s">
        <v>394</v>
      </c>
      <c r="C183" s="38" t="s">
        <v>392</v>
      </c>
      <c r="D183" s="37" t="s">
        <v>12</v>
      </c>
      <c r="E183" s="39">
        <v>0</v>
      </c>
      <c r="F183" s="41">
        <v>436110</v>
      </c>
      <c r="G183" s="12"/>
      <c r="H183" s="12">
        <f t="shared" si="7"/>
        <v>0</v>
      </c>
      <c r="I183" s="12">
        <f t="shared" si="8"/>
        <v>0</v>
      </c>
      <c r="J183" s="12">
        <f t="shared" si="9"/>
        <v>0</v>
      </c>
      <c r="K183" s="14"/>
    </row>
    <row r="184" spans="1:24" ht="29" x14ac:dyDescent="0.3">
      <c r="A184" s="37">
        <v>176</v>
      </c>
      <c r="B184" s="40" t="s">
        <v>396</v>
      </c>
      <c r="C184" s="38" t="s">
        <v>395</v>
      </c>
      <c r="D184" s="37" t="s">
        <v>12</v>
      </c>
      <c r="E184" s="41">
        <v>1582577</v>
      </c>
      <c r="F184" s="39">
        <v>0</v>
      </c>
      <c r="G184" s="12"/>
      <c r="H184" s="12">
        <f t="shared" si="7"/>
        <v>0</v>
      </c>
      <c r="I184" s="12">
        <f t="shared" si="8"/>
        <v>0</v>
      </c>
      <c r="J184" s="12">
        <f t="shared" si="9"/>
        <v>0</v>
      </c>
      <c r="K184" s="14"/>
    </row>
    <row r="185" spans="1:24" s="20" customFormat="1" ht="29" x14ac:dyDescent="0.3">
      <c r="A185" s="37">
        <v>177</v>
      </c>
      <c r="B185" s="37" t="s">
        <v>397</v>
      </c>
      <c r="C185" s="38" t="s">
        <v>395</v>
      </c>
      <c r="D185" s="37" t="s">
        <v>12</v>
      </c>
      <c r="E185" s="39">
        <v>0</v>
      </c>
      <c r="F185" s="39">
        <v>661115</v>
      </c>
      <c r="G185" s="12"/>
      <c r="H185" s="12">
        <f t="shared" si="7"/>
        <v>0</v>
      </c>
      <c r="I185" s="12">
        <f t="shared" si="8"/>
        <v>0</v>
      </c>
      <c r="J185" s="12">
        <f t="shared" si="9"/>
        <v>0</v>
      </c>
      <c r="K185" s="14"/>
      <c r="L185" s="32"/>
      <c r="M185" s="33"/>
      <c r="N185" s="34"/>
      <c r="O185" s="34"/>
      <c r="P185" s="34"/>
      <c r="Q185" s="34"/>
      <c r="R185" s="34"/>
      <c r="S185" s="34"/>
      <c r="T185" s="34"/>
      <c r="U185" s="34"/>
      <c r="V185" s="34"/>
      <c r="W185" s="34"/>
      <c r="X185" s="34"/>
    </row>
    <row r="186" spans="1:24" s="20" customFormat="1" ht="43.5" x14ac:dyDescent="0.3">
      <c r="A186" s="37">
        <v>178</v>
      </c>
      <c r="B186" s="40" t="s">
        <v>375</v>
      </c>
      <c r="C186" s="38" t="s">
        <v>374</v>
      </c>
      <c r="D186" s="37" t="s">
        <v>12</v>
      </c>
      <c r="E186" s="39">
        <v>300012</v>
      </c>
      <c r="F186" s="41">
        <v>0</v>
      </c>
      <c r="G186" s="12"/>
      <c r="H186" s="12">
        <f t="shared" si="7"/>
        <v>0</v>
      </c>
      <c r="I186" s="12">
        <f t="shared" si="8"/>
        <v>0</v>
      </c>
      <c r="J186" s="12">
        <f t="shared" si="9"/>
        <v>0</v>
      </c>
      <c r="K186" s="14"/>
      <c r="L186" s="32"/>
      <c r="M186" s="33"/>
      <c r="N186" s="34"/>
      <c r="O186" s="34"/>
      <c r="P186" s="34"/>
      <c r="Q186" s="34"/>
      <c r="R186" s="34"/>
      <c r="S186" s="34"/>
      <c r="T186" s="34"/>
      <c r="U186" s="34"/>
      <c r="V186" s="34"/>
      <c r="W186" s="34"/>
      <c r="X186" s="34"/>
    </row>
    <row r="187" spans="1:24" ht="43.5" x14ac:dyDescent="0.3">
      <c r="A187" s="37">
        <v>179</v>
      </c>
      <c r="B187" s="40" t="s">
        <v>376</v>
      </c>
      <c r="C187" s="38" t="s">
        <v>374</v>
      </c>
      <c r="D187" s="37" t="s">
        <v>12</v>
      </c>
      <c r="E187" s="41">
        <v>0</v>
      </c>
      <c r="F187" s="39">
        <v>230649</v>
      </c>
      <c r="G187" s="12"/>
      <c r="H187" s="12">
        <f t="shared" si="7"/>
        <v>0</v>
      </c>
      <c r="I187" s="12">
        <f t="shared" si="8"/>
        <v>0</v>
      </c>
      <c r="J187" s="12">
        <f t="shared" si="9"/>
        <v>0</v>
      </c>
      <c r="K187" s="14"/>
    </row>
    <row r="188" spans="1:24" ht="43.5" x14ac:dyDescent="0.3">
      <c r="A188" s="37">
        <v>180</v>
      </c>
      <c r="B188" s="37" t="s">
        <v>378</v>
      </c>
      <c r="C188" s="38" t="s">
        <v>377</v>
      </c>
      <c r="D188" s="37" t="s">
        <v>12</v>
      </c>
      <c r="E188" s="39">
        <v>620246</v>
      </c>
      <c r="F188" s="39">
        <v>0</v>
      </c>
      <c r="G188" s="12"/>
      <c r="H188" s="12">
        <f t="shared" si="7"/>
        <v>0</v>
      </c>
      <c r="I188" s="12">
        <f t="shared" si="8"/>
        <v>0</v>
      </c>
      <c r="J188" s="12">
        <f t="shared" si="9"/>
        <v>0</v>
      </c>
      <c r="K188" s="14"/>
    </row>
    <row r="189" spans="1:24" ht="43.5" x14ac:dyDescent="0.3">
      <c r="A189" s="37">
        <v>181</v>
      </c>
      <c r="B189" s="40" t="s">
        <v>379</v>
      </c>
      <c r="C189" s="38" t="s">
        <v>377</v>
      </c>
      <c r="D189" s="37" t="s">
        <v>12</v>
      </c>
      <c r="E189" s="39">
        <v>0</v>
      </c>
      <c r="F189" s="41">
        <v>436110</v>
      </c>
      <c r="G189" s="12"/>
      <c r="H189" s="12">
        <f t="shared" si="7"/>
        <v>0</v>
      </c>
      <c r="I189" s="12">
        <f t="shared" si="8"/>
        <v>0</v>
      </c>
      <c r="J189" s="12">
        <f t="shared" si="9"/>
        <v>0</v>
      </c>
      <c r="K189" s="14"/>
    </row>
    <row r="190" spans="1:24" ht="43.5" x14ac:dyDescent="0.3">
      <c r="A190" s="37">
        <v>182</v>
      </c>
      <c r="B190" s="40" t="s">
        <v>381</v>
      </c>
      <c r="C190" s="38" t="s">
        <v>380</v>
      </c>
      <c r="D190" s="37" t="s">
        <v>12</v>
      </c>
      <c r="E190" s="41">
        <v>1240492</v>
      </c>
      <c r="F190" s="39">
        <v>0</v>
      </c>
      <c r="G190" s="12"/>
      <c r="H190" s="12">
        <f t="shared" si="7"/>
        <v>0</v>
      </c>
      <c r="I190" s="12">
        <f t="shared" si="8"/>
        <v>0</v>
      </c>
      <c r="J190" s="12">
        <f t="shared" si="9"/>
        <v>0</v>
      </c>
      <c r="K190" s="14"/>
    </row>
    <row r="191" spans="1:24" ht="43.5" x14ac:dyDescent="0.3">
      <c r="A191" s="37">
        <v>183</v>
      </c>
      <c r="B191" s="37" t="s">
        <v>382</v>
      </c>
      <c r="C191" s="38" t="s">
        <v>380</v>
      </c>
      <c r="D191" s="37" t="s">
        <v>12</v>
      </c>
      <c r="E191" s="39">
        <v>0</v>
      </c>
      <c r="F191" s="39">
        <v>872220</v>
      </c>
      <c r="G191" s="12"/>
      <c r="H191" s="12">
        <f t="shared" si="7"/>
        <v>0</v>
      </c>
      <c r="I191" s="12">
        <f t="shared" si="8"/>
        <v>0</v>
      </c>
      <c r="J191" s="12">
        <f t="shared" si="9"/>
        <v>0</v>
      </c>
      <c r="K191" s="14"/>
    </row>
    <row r="192" spans="1:24" ht="43.5" x14ac:dyDescent="0.3">
      <c r="A192" s="37">
        <v>184</v>
      </c>
      <c r="B192" s="40" t="s">
        <v>483</v>
      </c>
      <c r="C192" s="38" t="s">
        <v>482</v>
      </c>
      <c r="D192" s="37" t="s">
        <v>12</v>
      </c>
      <c r="E192" s="39">
        <v>24756</v>
      </c>
      <c r="F192" s="41">
        <v>0</v>
      </c>
      <c r="G192" s="12"/>
      <c r="H192" s="12">
        <f t="shared" si="7"/>
        <v>0</v>
      </c>
      <c r="I192" s="12">
        <f t="shared" si="8"/>
        <v>0</v>
      </c>
      <c r="J192" s="12">
        <f t="shared" si="9"/>
        <v>0</v>
      </c>
      <c r="K192" s="14"/>
    </row>
    <row r="193" spans="1:11" ht="43.5" x14ac:dyDescent="0.3">
      <c r="A193" s="37">
        <v>185</v>
      </c>
      <c r="B193" s="40" t="s">
        <v>484</v>
      </c>
      <c r="C193" s="38" t="s">
        <v>482</v>
      </c>
      <c r="D193" s="37" t="s">
        <v>12</v>
      </c>
      <c r="E193" s="41">
        <v>0</v>
      </c>
      <c r="F193" s="39">
        <v>428020</v>
      </c>
      <c r="G193" s="12"/>
      <c r="H193" s="12">
        <f t="shared" si="7"/>
        <v>0</v>
      </c>
      <c r="I193" s="12">
        <f t="shared" si="8"/>
        <v>0</v>
      </c>
      <c r="J193" s="12">
        <f t="shared" si="9"/>
        <v>0</v>
      </c>
      <c r="K193" s="14"/>
    </row>
    <row r="194" spans="1:11" ht="58" x14ac:dyDescent="0.3">
      <c r="A194" s="37">
        <v>186</v>
      </c>
      <c r="B194" s="37" t="s">
        <v>480</v>
      </c>
      <c r="C194" s="38" t="s">
        <v>479</v>
      </c>
      <c r="D194" s="37" t="s">
        <v>12</v>
      </c>
      <c r="E194" s="39">
        <v>257175</v>
      </c>
      <c r="F194" s="39">
        <v>0</v>
      </c>
      <c r="G194" s="12"/>
      <c r="H194" s="12">
        <f t="shared" si="7"/>
        <v>0</v>
      </c>
      <c r="I194" s="12">
        <f t="shared" si="8"/>
        <v>0</v>
      </c>
      <c r="J194" s="12">
        <f t="shared" si="9"/>
        <v>0</v>
      </c>
      <c r="K194" s="14"/>
    </row>
    <row r="195" spans="1:11" ht="58" x14ac:dyDescent="0.3">
      <c r="A195" s="37">
        <v>187</v>
      </c>
      <c r="B195" s="40" t="s">
        <v>481</v>
      </c>
      <c r="C195" s="38" t="s">
        <v>479</v>
      </c>
      <c r="D195" s="37" t="s">
        <v>12</v>
      </c>
      <c r="E195" s="39">
        <v>0</v>
      </c>
      <c r="F195" s="41">
        <v>152639</v>
      </c>
      <c r="G195" s="12"/>
      <c r="H195" s="12">
        <f t="shared" si="7"/>
        <v>0</v>
      </c>
      <c r="I195" s="12">
        <f t="shared" si="8"/>
        <v>0</v>
      </c>
      <c r="J195" s="12">
        <f t="shared" si="9"/>
        <v>0</v>
      </c>
      <c r="K195" s="14"/>
    </row>
    <row r="196" spans="1:11" ht="29" x14ac:dyDescent="0.3">
      <c r="A196" s="37">
        <v>188</v>
      </c>
      <c r="B196" s="40" t="s">
        <v>454</v>
      </c>
      <c r="C196" s="38" t="s">
        <v>453</v>
      </c>
      <c r="D196" s="37" t="s">
        <v>12</v>
      </c>
      <c r="E196" s="41">
        <v>9992</v>
      </c>
      <c r="F196" s="39">
        <v>0</v>
      </c>
      <c r="G196" s="12"/>
      <c r="H196" s="12">
        <f t="shared" si="7"/>
        <v>0</v>
      </c>
      <c r="I196" s="12">
        <f t="shared" si="8"/>
        <v>0</v>
      </c>
      <c r="J196" s="12">
        <f t="shared" si="9"/>
        <v>0</v>
      </c>
      <c r="K196" s="14"/>
    </row>
    <row r="197" spans="1:11" ht="29" x14ac:dyDescent="0.3">
      <c r="A197" s="37">
        <v>189</v>
      </c>
      <c r="B197" s="37" t="s">
        <v>455</v>
      </c>
      <c r="C197" s="38" t="s">
        <v>453</v>
      </c>
      <c r="D197" s="37" t="s">
        <v>12</v>
      </c>
      <c r="E197" s="39">
        <v>0</v>
      </c>
      <c r="F197" s="39">
        <v>1338</v>
      </c>
      <c r="G197" s="12"/>
      <c r="H197" s="12">
        <f t="shared" si="7"/>
        <v>0</v>
      </c>
      <c r="I197" s="12">
        <f t="shared" si="8"/>
        <v>0</v>
      </c>
      <c r="J197" s="12">
        <f t="shared" si="9"/>
        <v>0</v>
      </c>
      <c r="K197" s="14"/>
    </row>
    <row r="198" spans="1:11" ht="43.5" x14ac:dyDescent="0.3">
      <c r="A198" s="37">
        <v>190</v>
      </c>
      <c r="B198" s="40" t="s">
        <v>466</v>
      </c>
      <c r="C198" s="38" t="s">
        <v>465</v>
      </c>
      <c r="D198" s="37" t="s">
        <v>12</v>
      </c>
      <c r="E198" s="39">
        <v>12534</v>
      </c>
      <c r="F198" s="41">
        <v>0</v>
      </c>
      <c r="G198" s="12"/>
      <c r="H198" s="12">
        <f t="shared" si="7"/>
        <v>0</v>
      </c>
      <c r="I198" s="12">
        <f t="shared" si="8"/>
        <v>0</v>
      </c>
      <c r="J198" s="12">
        <f t="shared" si="9"/>
        <v>0</v>
      </c>
      <c r="K198" s="14"/>
    </row>
    <row r="199" spans="1:11" ht="43.5" x14ac:dyDescent="0.3">
      <c r="A199" s="37">
        <v>191</v>
      </c>
      <c r="B199" s="40" t="s">
        <v>467</v>
      </c>
      <c r="C199" s="38" t="s">
        <v>465</v>
      </c>
      <c r="D199" s="37" t="s">
        <v>12</v>
      </c>
      <c r="E199" s="41">
        <v>0</v>
      </c>
      <c r="F199" s="39">
        <v>1407</v>
      </c>
      <c r="G199" s="12"/>
      <c r="H199" s="12">
        <f t="shared" si="7"/>
        <v>0</v>
      </c>
      <c r="I199" s="12">
        <f t="shared" si="8"/>
        <v>0</v>
      </c>
      <c r="J199" s="12">
        <f t="shared" si="9"/>
        <v>0</v>
      </c>
      <c r="K199" s="14"/>
    </row>
    <row r="200" spans="1:11" ht="29" x14ac:dyDescent="0.3">
      <c r="A200" s="37">
        <v>192</v>
      </c>
      <c r="B200" s="37" t="s">
        <v>457</v>
      </c>
      <c r="C200" s="38" t="s">
        <v>456</v>
      </c>
      <c r="D200" s="37" t="s">
        <v>12</v>
      </c>
      <c r="E200" s="39">
        <v>24090</v>
      </c>
      <c r="F200" s="39">
        <v>0</v>
      </c>
      <c r="G200" s="12"/>
      <c r="H200" s="12">
        <f t="shared" si="7"/>
        <v>0</v>
      </c>
      <c r="I200" s="12">
        <f t="shared" si="8"/>
        <v>0</v>
      </c>
      <c r="J200" s="12">
        <f t="shared" si="9"/>
        <v>0</v>
      </c>
      <c r="K200" s="14"/>
    </row>
    <row r="201" spans="1:11" ht="29" x14ac:dyDescent="0.3">
      <c r="A201" s="37">
        <v>193</v>
      </c>
      <c r="B201" s="40" t="s">
        <v>458</v>
      </c>
      <c r="C201" s="38" t="s">
        <v>456</v>
      </c>
      <c r="D201" s="37" t="s">
        <v>12</v>
      </c>
      <c r="E201" s="39">
        <v>0</v>
      </c>
      <c r="F201" s="41">
        <v>1702</v>
      </c>
      <c r="G201" s="12"/>
      <c r="H201" s="12">
        <f t="shared" si="7"/>
        <v>0</v>
      </c>
      <c r="I201" s="12">
        <f t="shared" si="8"/>
        <v>0</v>
      </c>
      <c r="J201" s="12">
        <f t="shared" si="9"/>
        <v>0</v>
      </c>
      <c r="K201" s="14"/>
    </row>
    <row r="202" spans="1:11" ht="43.5" x14ac:dyDescent="0.3">
      <c r="A202" s="37">
        <v>194</v>
      </c>
      <c r="B202" s="40" t="s">
        <v>469</v>
      </c>
      <c r="C202" s="38" t="s">
        <v>468</v>
      </c>
      <c r="D202" s="37" t="s">
        <v>12</v>
      </c>
      <c r="E202" s="41">
        <v>24895</v>
      </c>
      <c r="F202" s="39">
        <v>0</v>
      </c>
      <c r="G202" s="12"/>
      <c r="H202" s="12">
        <f t="shared" ref="H202:H265" si="10">E202*G202</f>
        <v>0</v>
      </c>
      <c r="I202" s="12">
        <f t="shared" ref="I202:I265" si="11">F202*G202</f>
        <v>0</v>
      </c>
      <c r="J202" s="12">
        <f t="shared" ref="J202:J265" si="12">SUM(H202:I202)</f>
        <v>0</v>
      </c>
      <c r="K202" s="14"/>
    </row>
    <row r="203" spans="1:11" ht="43.5" x14ac:dyDescent="0.3">
      <c r="A203" s="37">
        <v>195</v>
      </c>
      <c r="B203" s="37" t="s">
        <v>470</v>
      </c>
      <c r="C203" s="38" t="s">
        <v>468</v>
      </c>
      <c r="D203" s="37" t="s">
        <v>12</v>
      </c>
      <c r="E203" s="39">
        <v>0</v>
      </c>
      <c r="F203" s="39">
        <v>1702</v>
      </c>
      <c r="G203" s="12"/>
      <c r="H203" s="12">
        <f t="shared" si="10"/>
        <v>0</v>
      </c>
      <c r="I203" s="12">
        <f t="shared" si="11"/>
        <v>0</v>
      </c>
      <c r="J203" s="12">
        <f t="shared" si="12"/>
        <v>0</v>
      </c>
      <c r="K203" s="14"/>
    </row>
    <row r="204" spans="1:11" ht="29" x14ac:dyDescent="0.3">
      <c r="A204" s="37">
        <v>196</v>
      </c>
      <c r="B204" s="40" t="s">
        <v>460</v>
      </c>
      <c r="C204" s="38" t="s">
        <v>459</v>
      </c>
      <c r="D204" s="37" t="s">
        <v>12</v>
      </c>
      <c r="E204" s="39">
        <v>18745</v>
      </c>
      <c r="F204" s="41">
        <v>0</v>
      </c>
      <c r="G204" s="12"/>
      <c r="H204" s="12">
        <f t="shared" si="10"/>
        <v>0</v>
      </c>
      <c r="I204" s="12">
        <f t="shared" si="11"/>
        <v>0</v>
      </c>
      <c r="J204" s="12">
        <f t="shared" si="12"/>
        <v>0</v>
      </c>
      <c r="K204" s="14"/>
    </row>
    <row r="205" spans="1:11" ht="29" x14ac:dyDescent="0.3">
      <c r="A205" s="37">
        <v>197</v>
      </c>
      <c r="B205" s="40" t="s">
        <v>461</v>
      </c>
      <c r="C205" s="38" t="s">
        <v>459</v>
      </c>
      <c r="D205" s="37" t="s">
        <v>12</v>
      </c>
      <c r="E205" s="41">
        <v>0</v>
      </c>
      <c r="F205" s="39">
        <v>1407</v>
      </c>
      <c r="G205" s="12"/>
      <c r="H205" s="12">
        <f t="shared" si="10"/>
        <v>0</v>
      </c>
      <c r="I205" s="12">
        <f t="shared" si="11"/>
        <v>0</v>
      </c>
      <c r="J205" s="12">
        <f t="shared" si="12"/>
        <v>0</v>
      </c>
      <c r="K205" s="14"/>
    </row>
    <row r="206" spans="1:11" ht="29" x14ac:dyDescent="0.3">
      <c r="A206" s="37">
        <v>198</v>
      </c>
      <c r="B206" s="37" t="s">
        <v>463</v>
      </c>
      <c r="C206" s="38" t="s">
        <v>462</v>
      </c>
      <c r="D206" s="37" t="s">
        <v>12</v>
      </c>
      <c r="E206" s="39">
        <v>40935</v>
      </c>
      <c r="F206" s="39">
        <v>0</v>
      </c>
      <c r="G206" s="12"/>
      <c r="H206" s="12">
        <f t="shared" si="10"/>
        <v>0</v>
      </c>
      <c r="I206" s="12">
        <f t="shared" si="11"/>
        <v>0</v>
      </c>
      <c r="J206" s="12">
        <f t="shared" si="12"/>
        <v>0</v>
      </c>
      <c r="K206" s="14"/>
    </row>
    <row r="207" spans="1:11" ht="29" x14ac:dyDescent="0.3">
      <c r="A207" s="37">
        <v>199</v>
      </c>
      <c r="B207" s="40" t="s">
        <v>464</v>
      </c>
      <c r="C207" s="38" t="s">
        <v>462</v>
      </c>
      <c r="D207" s="37" t="s">
        <v>12</v>
      </c>
      <c r="E207" s="39">
        <v>0</v>
      </c>
      <c r="F207" s="41">
        <v>1702</v>
      </c>
      <c r="G207" s="12"/>
      <c r="H207" s="12">
        <f t="shared" si="10"/>
        <v>0</v>
      </c>
      <c r="I207" s="12">
        <f t="shared" si="11"/>
        <v>0</v>
      </c>
      <c r="J207" s="12">
        <f t="shared" si="12"/>
        <v>0</v>
      </c>
      <c r="K207" s="14"/>
    </row>
    <row r="208" spans="1:11" ht="29" x14ac:dyDescent="0.3">
      <c r="A208" s="37">
        <v>200</v>
      </c>
      <c r="B208" s="40" t="s">
        <v>566</v>
      </c>
      <c r="C208" s="38" t="s">
        <v>51</v>
      </c>
      <c r="D208" s="37" t="s">
        <v>12</v>
      </c>
      <c r="E208" s="41">
        <v>43786</v>
      </c>
      <c r="F208" s="39">
        <v>0</v>
      </c>
      <c r="G208" s="12"/>
      <c r="H208" s="12">
        <f t="shared" si="10"/>
        <v>0</v>
      </c>
      <c r="I208" s="12">
        <f t="shared" si="11"/>
        <v>0</v>
      </c>
      <c r="J208" s="12">
        <f t="shared" si="12"/>
        <v>0</v>
      </c>
      <c r="K208" s="13"/>
    </row>
    <row r="209" spans="1:11" ht="29" x14ac:dyDescent="0.3">
      <c r="A209" s="37">
        <v>201</v>
      </c>
      <c r="B209" s="37" t="s">
        <v>567</v>
      </c>
      <c r="C209" s="38" t="s">
        <v>51</v>
      </c>
      <c r="D209" s="37" t="s">
        <v>12</v>
      </c>
      <c r="E209" s="39">
        <v>0</v>
      </c>
      <c r="F209" s="39">
        <v>4287</v>
      </c>
      <c r="G209" s="12"/>
      <c r="H209" s="12">
        <f t="shared" si="10"/>
        <v>0</v>
      </c>
      <c r="I209" s="12">
        <f t="shared" si="11"/>
        <v>0</v>
      </c>
      <c r="J209" s="12">
        <f t="shared" si="12"/>
        <v>0</v>
      </c>
      <c r="K209" s="13"/>
    </row>
    <row r="210" spans="1:11" ht="29" x14ac:dyDescent="0.3">
      <c r="A210" s="37">
        <v>202</v>
      </c>
      <c r="B210" s="40" t="s">
        <v>568</v>
      </c>
      <c r="C210" s="38" t="s">
        <v>52</v>
      </c>
      <c r="D210" s="37" t="s">
        <v>12</v>
      </c>
      <c r="E210" s="39">
        <v>56337</v>
      </c>
      <c r="F210" s="41">
        <v>0</v>
      </c>
      <c r="G210" s="12"/>
      <c r="H210" s="12">
        <f t="shared" si="10"/>
        <v>0</v>
      </c>
      <c r="I210" s="12">
        <f t="shared" si="11"/>
        <v>0</v>
      </c>
      <c r="J210" s="12">
        <f t="shared" si="12"/>
        <v>0</v>
      </c>
      <c r="K210" s="13"/>
    </row>
    <row r="211" spans="1:11" ht="29" x14ac:dyDescent="0.3">
      <c r="A211" s="37">
        <v>203</v>
      </c>
      <c r="B211" s="40" t="s">
        <v>569</v>
      </c>
      <c r="C211" s="38" t="s">
        <v>52</v>
      </c>
      <c r="D211" s="37" t="s">
        <v>12</v>
      </c>
      <c r="E211" s="41">
        <v>0</v>
      </c>
      <c r="F211" s="39">
        <v>4992</v>
      </c>
      <c r="G211" s="12"/>
      <c r="H211" s="12">
        <f t="shared" si="10"/>
        <v>0</v>
      </c>
      <c r="I211" s="12">
        <f t="shared" si="11"/>
        <v>0</v>
      </c>
      <c r="J211" s="12">
        <f t="shared" si="12"/>
        <v>0</v>
      </c>
      <c r="K211" s="13"/>
    </row>
    <row r="212" spans="1:11" ht="29" x14ac:dyDescent="0.3">
      <c r="A212" s="37">
        <v>204</v>
      </c>
      <c r="B212" s="37" t="s">
        <v>558</v>
      </c>
      <c r="C212" s="38" t="s">
        <v>47</v>
      </c>
      <c r="D212" s="37" t="s">
        <v>12</v>
      </c>
      <c r="E212" s="39">
        <v>13468</v>
      </c>
      <c r="F212" s="39">
        <v>0</v>
      </c>
      <c r="G212" s="12"/>
      <c r="H212" s="12">
        <f t="shared" si="10"/>
        <v>0</v>
      </c>
      <c r="I212" s="12">
        <f t="shared" si="11"/>
        <v>0</v>
      </c>
      <c r="J212" s="12">
        <f t="shared" si="12"/>
        <v>0</v>
      </c>
      <c r="K212" s="13"/>
    </row>
    <row r="213" spans="1:11" ht="29" x14ac:dyDescent="0.3">
      <c r="A213" s="37">
        <v>205</v>
      </c>
      <c r="B213" s="40" t="s">
        <v>559</v>
      </c>
      <c r="C213" s="38" t="s">
        <v>47</v>
      </c>
      <c r="D213" s="37" t="s">
        <v>12</v>
      </c>
      <c r="E213" s="39">
        <v>0</v>
      </c>
      <c r="F213" s="41">
        <v>2455</v>
      </c>
      <c r="G213" s="12"/>
      <c r="H213" s="12">
        <f t="shared" si="10"/>
        <v>0</v>
      </c>
      <c r="I213" s="12">
        <f t="shared" si="11"/>
        <v>0</v>
      </c>
      <c r="J213" s="12">
        <f t="shared" si="12"/>
        <v>0</v>
      </c>
      <c r="K213" s="13"/>
    </row>
    <row r="214" spans="1:11" ht="29" x14ac:dyDescent="0.3">
      <c r="A214" s="37">
        <v>206</v>
      </c>
      <c r="B214" s="40" t="s">
        <v>572</v>
      </c>
      <c r="C214" s="38" t="s">
        <v>54</v>
      </c>
      <c r="D214" s="37" t="s">
        <v>12</v>
      </c>
      <c r="E214" s="41">
        <v>22741</v>
      </c>
      <c r="F214" s="39">
        <v>0</v>
      </c>
      <c r="G214" s="12"/>
      <c r="H214" s="12">
        <f t="shared" si="10"/>
        <v>0</v>
      </c>
      <c r="I214" s="12">
        <f t="shared" si="11"/>
        <v>0</v>
      </c>
      <c r="J214" s="12">
        <f t="shared" si="12"/>
        <v>0</v>
      </c>
      <c r="K214" s="13"/>
    </row>
    <row r="215" spans="1:11" ht="29" x14ac:dyDescent="0.3">
      <c r="A215" s="37">
        <v>207</v>
      </c>
      <c r="B215" s="37" t="s">
        <v>573</v>
      </c>
      <c r="C215" s="38" t="s">
        <v>54</v>
      </c>
      <c r="D215" s="37" t="s">
        <v>12</v>
      </c>
      <c r="E215" s="39">
        <v>0</v>
      </c>
      <c r="F215" s="39">
        <v>3172</v>
      </c>
      <c r="G215" s="12"/>
      <c r="H215" s="12">
        <f t="shared" si="10"/>
        <v>0</v>
      </c>
      <c r="I215" s="12">
        <f t="shared" si="11"/>
        <v>0</v>
      </c>
      <c r="J215" s="12">
        <f t="shared" si="12"/>
        <v>0</v>
      </c>
      <c r="K215" s="13"/>
    </row>
    <row r="216" spans="1:11" ht="29" x14ac:dyDescent="0.3">
      <c r="A216" s="37">
        <v>208</v>
      </c>
      <c r="B216" s="40" t="s">
        <v>580</v>
      </c>
      <c r="C216" s="38" t="s">
        <v>58</v>
      </c>
      <c r="D216" s="37" t="s">
        <v>12</v>
      </c>
      <c r="E216" s="39">
        <v>26523</v>
      </c>
      <c r="F216" s="41">
        <v>0</v>
      </c>
      <c r="G216" s="12"/>
      <c r="H216" s="12">
        <f t="shared" si="10"/>
        <v>0</v>
      </c>
      <c r="I216" s="12">
        <f t="shared" si="11"/>
        <v>0</v>
      </c>
      <c r="J216" s="12">
        <f t="shared" si="12"/>
        <v>0</v>
      </c>
      <c r="K216" s="14"/>
    </row>
    <row r="217" spans="1:11" ht="29" x14ac:dyDescent="0.3">
      <c r="A217" s="37">
        <v>209</v>
      </c>
      <c r="B217" s="40" t="s">
        <v>581</v>
      </c>
      <c r="C217" s="38" t="s">
        <v>58</v>
      </c>
      <c r="D217" s="37" t="s">
        <v>12</v>
      </c>
      <c r="E217" s="41">
        <v>0</v>
      </c>
      <c r="F217" s="39">
        <v>3993</v>
      </c>
      <c r="G217" s="12"/>
      <c r="H217" s="12">
        <f t="shared" si="10"/>
        <v>0</v>
      </c>
      <c r="I217" s="12">
        <f t="shared" si="11"/>
        <v>0</v>
      </c>
      <c r="J217" s="12">
        <f t="shared" si="12"/>
        <v>0</v>
      </c>
      <c r="K217" s="13"/>
    </row>
    <row r="218" spans="1:11" ht="29" x14ac:dyDescent="0.3">
      <c r="A218" s="37">
        <v>210</v>
      </c>
      <c r="B218" s="37" t="s">
        <v>570</v>
      </c>
      <c r="C218" s="38" t="s">
        <v>53</v>
      </c>
      <c r="D218" s="37" t="s">
        <v>12</v>
      </c>
      <c r="E218" s="39">
        <v>67100</v>
      </c>
      <c r="F218" s="39">
        <v>0</v>
      </c>
      <c r="G218" s="12"/>
      <c r="H218" s="12">
        <f t="shared" si="10"/>
        <v>0</v>
      </c>
      <c r="I218" s="12">
        <f t="shared" si="11"/>
        <v>0</v>
      </c>
      <c r="J218" s="12">
        <f t="shared" si="12"/>
        <v>0</v>
      </c>
      <c r="K218" s="14"/>
    </row>
    <row r="219" spans="1:11" ht="29" x14ac:dyDescent="0.3">
      <c r="A219" s="37">
        <v>211</v>
      </c>
      <c r="B219" s="40" t="s">
        <v>571</v>
      </c>
      <c r="C219" s="38" t="s">
        <v>53</v>
      </c>
      <c r="D219" s="37" t="s">
        <v>12</v>
      </c>
      <c r="E219" s="39">
        <v>0</v>
      </c>
      <c r="F219" s="41">
        <v>5697</v>
      </c>
      <c r="G219" s="12"/>
      <c r="H219" s="12">
        <f t="shared" si="10"/>
        <v>0</v>
      </c>
      <c r="I219" s="12">
        <f t="shared" si="11"/>
        <v>0</v>
      </c>
      <c r="J219" s="12">
        <f t="shared" si="12"/>
        <v>0</v>
      </c>
      <c r="K219" s="14"/>
    </row>
    <row r="220" spans="1:11" ht="29" x14ac:dyDescent="0.3">
      <c r="A220" s="37">
        <v>212</v>
      </c>
      <c r="B220" s="40" t="s">
        <v>560</v>
      </c>
      <c r="C220" s="38" t="s">
        <v>48</v>
      </c>
      <c r="D220" s="37" t="s">
        <v>12</v>
      </c>
      <c r="E220" s="41">
        <v>15922</v>
      </c>
      <c r="F220" s="39">
        <v>0</v>
      </c>
      <c r="G220" s="12"/>
      <c r="H220" s="12">
        <f t="shared" si="10"/>
        <v>0</v>
      </c>
      <c r="I220" s="12">
        <f t="shared" si="11"/>
        <v>0</v>
      </c>
      <c r="J220" s="12">
        <f t="shared" si="12"/>
        <v>0</v>
      </c>
      <c r="K220" s="14"/>
    </row>
    <row r="221" spans="1:11" ht="29" x14ac:dyDescent="0.3">
      <c r="A221" s="37">
        <v>213</v>
      </c>
      <c r="B221" s="37" t="s">
        <v>561</v>
      </c>
      <c r="C221" s="38" t="s">
        <v>48</v>
      </c>
      <c r="D221" s="37" t="s">
        <v>12</v>
      </c>
      <c r="E221" s="39">
        <v>0</v>
      </c>
      <c r="F221" s="39">
        <v>3230</v>
      </c>
      <c r="G221" s="12"/>
      <c r="H221" s="12">
        <f t="shared" si="10"/>
        <v>0</v>
      </c>
      <c r="I221" s="12">
        <f t="shared" si="11"/>
        <v>0</v>
      </c>
      <c r="J221" s="12">
        <f t="shared" si="12"/>
        <v>0</v>
      </c>
      <c r="K221" s="14"/>
    </row>
    <row r="222" spans="1:11" ht="29" x14ac:dyDescent="0.3">
      <c r="A222" s="37">
        <v>214</v>
      </c>
      <c r="B222" s="40" t="s">
        <v>574</v>
      </c>
      <c r="C222" s="38" t="s">
        <v>55</v>
      </c>
      <c r="D222" s="37" t="s">
        <v>12</v>
      </c>
      <c r="E222" s="39">
        <v>29456</v>
      </c>
      <c r="F222" s="41">
        <v>0</v>
      </c>
      <c r="G222" s="12"/>
      <c r="H222" s="12">
        <f t="shared" si="10"/>
        <v>0</v>
      </c>
      <c r="I222" s="12">
        <f t="shared" si="11"/>
        <v>0</v>
      </c>
      <c r="J222" s="12">
        <f t="shared" si="12"/>
        <v>0</v>
      </c>
      <c r="K222" s="14"/>
    </row>
    <row r="223" spans="1:11" ht="29" x14ac:dyDescent="0.3">
      <c r="A223" s="37">
        <v>215</v>
      </c>
      <c r="B223" s="40" t="s">
        <v>575</v>
      </c>
      <c r="C223" s="38" t="s">
        <v>55</v>
      </c>
      <c r="D223" s="37" t="s">
        <v>12</v>
      </c>
      <c r="E223" s="41">
        <v>0</v>
      </c>
      <c r="F223" s="39">
        <v>3700</v>
      </c>
      <c r="G223" s="12"/>
      <c r="H223" s="12">
        <f t="shared" si="10"/>
        <v>0</v>
      </c>
      <c r="I223" s="12">
        <f t="shared" si="11"/>
        <v>0</v>
      </c>
      <c r="J223" s="12">
        <f t="shared" si="12"/>
        <v>0</v>
      </c>
      <c r="K223" s="14"/>
    </row>
    <row r="224" spans="1:11" ht="29" x14ac:dyDescent="0.3">
      <c r="A224" s="37">
        <v>216</v>
      </c>
      <c r="B224" s="37" t="s">
        <v>582</v>
      </c>
      <c r="C224" s="38" t="s">
        <v>59</v>
      </c>
      <c r="D224" s="37" t="s">
        <v>12</v>
      </c>
      <c r="E224" s="39">
        <v>34687</v>
      </c>
      <c r="F224" s="39">
        <v>0</v>
      </c>
      <c r="G224" s="12"/>
      <c r="H224" s="12">
        <f t="shared" si="10"/>
        <v>0</v>
      </c>
      <c r="I224" s="12">
        <f t="shared" si="11"/>
        <v>0</v>
      </c>
      <c r="J224" s="12">
        <f t="shared" si="12"/>
        <v>0</v>
      </c>
      <c r="K224" s="14"/>
    </row>
    <row r="225" spans="1:13" ht="29" x14ac:dyDescent="0.3">
      <c r="A225" s="37">
        <v>217</v>
      </c>
      <c r="B225" s="40" t="s">
        <v>583</v>
      </c>
      <c r="C225" s="38" t="s">
        <v>59</v>
      </c>
      <c r="D225" s="37" t="s">
        <v>12</v>
      </c>
      <c r="E225" s="39">
        <v>0</v>
      </c>
      <c r="F225" s="41">
        <v>4581</v>
      </c>
      <c r="G225" s="12"/>
      <c r="H225" s="12">
        <f t="shared" si="10"/>
        <v>0</v>
      </c>
      <c r="I225" s="12">
        <f t="shared" si="11"/>
        <v>0</v>
      </c>
      <c r="J225" s="12">
        <f t="shared" si="12"/>
        <v>0</v>
      </c>
      <c r="K225" s="14"/>
    </row>
    <row r="226" spans="1:13" ht="29" x14ac:dyDescent="0.3">
      <c r="A226" s="37">
        <v>218</v>
      </c>
      <c r="B226" s="40" t="s">
        <v>562</v>
      </c>
      <c r="C226" s="38" t="s">
        <v>49</v>
      </c>
      <c r="D226" s="37" t="s">
        <v>12</v>
      </c>
      <c r="E226" s="41">
        <v>22746</v>
      </c>
      <c r="F226" s="39">
        <v>0</v>
      </c>
      <c r="G226" s="12"/>
      <c r="H226" s="12">
        <f t="shared" si="10"/>
        <v>0</v>
      </c>
      <c r="I226" s="12">
        <f t="shared" si="11"/>
        <v>0</v>
      </c>
      <c r="J226" s="12">
        <f t="shared" si="12"/>
        <v>0</v>
      </c>
      <c r="K226" s="14"/>
    </row>
    <row r="227" spans="1:13" ht="29" x14ac:dyDescent="0.3">
      <c r="A227" s="37">
        <v>219</v>
      </c>
      <c r="B227" s="37" t="s">
        <v>563</v>
      </c>
      <c r="C227" s="38" t="s">
        <v>49</v>
      </c>
      <c r="D227" s="37" t="s">
        <v>12</v>
      </c>
      <c r="E227" s="39">
        <v>0</v>
      </c>
      <c r="F227" s="39">
        <v>3700</v>
      </c>
      <c r="G227" s="12"/>
      <c r="H227" s="12">
        <f t="shared" si="10"/>
        <v>0</v>
      </c>
      <c r="I227" s="12">
        <f t="shared" si="11"/>
        <v>0</v>
      </c>
      <c r="J227" s="12">
        <f t="shared" si="12"/>
        <v>0</v>
      </c>
      <c r="K227" s="13"/>
    </row>
    <row r="228" spans="1:13" ht="29" x14ac:dyDescent="0.3">
      <c r="A228" s="37">
        <v>220</v>
      </c>
      <c r="B228" s="40" t="s">
        <v>576</v>
      </c>
      <c r="C228" s="38" t="s">
        <v>56</v>
      </c>
      <c r="D228" s="37" t="s">
        <v>12</v>
      </c>
      <c r="E228" s="39">
        <v>52202</v>
      </c>
      <c r="F228" s="41">
        <v>0</v>
      </c>
      <c r="G228" s="12"/>
      <c r="H228" s="12">
        <f t="shared" si="10"/>
        <v>0</v>
      </c>
      <c r="I228" s="12">
        <f t="shared" si="11"/>
        <v>0</v>
      </c>
      <c r="J228" s="12">
        <f t="shared" si="12"/>
        <v>0</v>
      </c>
      <c r="K228" s="13"/>
      <c r="M228" s="33" t="s">
        <v>80</v>
      </c>
    </row>
    <row r="229" spans="1:13" ht="29" x14ac:dyDescent="0.3">
      <c r="A229" s="37">
        <v>221</v>
      </c>
      <c r="B229" s="40" t="s">
        <v>577</v>
      </c>
      <c r="C229" s="38" t="s">
        <v>56</v>
      </c>
      <c r="D229" s="37" t="s">
        <v>12</v>
      </c>
      <c r="E229" s="41">
        <v>0</v>
      </c>
      <c r="F229" s="39">
        <v>4229</v>
      </c>
      <c r="G229" s="12"/>
      <c r="H229" s="12">
        <f t="shared" si="10"/>
        <v>0</v>
      </c>
      <c r="I229" s="12">
        <f t="shared" si="11"/>
        <v>0</v>
      </c>
      <c r="J229" s="12">
        <f t="shared" si="12"/>
        <v>0</v>
      </c>
      <c r="K229" s="13"/>
    </row>
    <row r="230" spans="1:13" ht="29" x14ac:dyDescent="0.3">
      <c r="A230" s="37">
        <v>222</v>
      </c>
      <c r="B230" s="37" t="s">
        <v>584</v>
      </c>
      <c r="C230" s="38" t="s">
        <v>60</v>
      </c>
      <c r="D230" s="37" t="s">
        <v>12</v>
      </c>
      <c r="E230" s="39">
        <v>61755</v>
      </c>
      <c r="F230" s="39">
        <v>0</v>
      </c>
      <c r="G230" s="12"/>
      <c r="H230" s="12">
        <f t="shared" si="10"/>
        <v>0</v>
      </c>
      <c r="I230" s="12">
        <f t="shared" si="11"/>
        <v>0</v>
      </c>
      <c r="J230" s="12">
        <f t="shared" si="12"/>
        <v>0</v>
      </c>
      <c r="K230" s="13"/>
    </row>
    <row r="231" spans="1:13" ht="29" x14ac:dyDescent="0.3">
      <c r="A231" s="37">
        <v>223</v>
      </c>
      <c r="B231" s="40" t="s">
        <v>585</v>
      </c>
      <c r="C231" s="38" t="s">
        <v>60</v>
      </c>
      <c r="D231" s="37" t="s">
        <v>12</v>
      </c>
      <c r="E231" s="39">
        <v>0</v>
      </c>
      <c r="F231" s="41">
        <v>5653</v>
      </c>
      <c r="G231" s="12"/>
      <c r="H231" s="12">
        <f t="shared" si="10"/>
        <v>0</v>
      </c>
      <c r="I231" s="12">
        <f t="shared" si="11"/>
        <v>0</v>
      </c>
      <c r="J231" s="12">
        <f t="shared" si="12"/>
        <v>0</v>
      </c>
      <c r="K231" s="14"/>
    </row>
    <row r="232" spans="1:13" ht="29" x14ac:dyDescent="0.3">
      <c r="A232" s="37">
        <v>224</v>
      </c>
      <c r="B232" s="40" t="s">
        <v>564</v>
      </c>
      <c r="C232" s="38" t="s">
        <v>50</v>
      </c>
      <c r="D232" s="37" t="s">
        <v>12</v>
      </c>
      <c r="E232" s="41">
        <v>29456</v>
      </c>
      <c r="F232" s="39">
        <v>0</v>
      </c>
      <c r="G232" s="12"/>
      <c r="H232" s="12">
        <f t="shared" si="10"/>
        <v>0</v>
      </c>
      <c r="I232" s="12">
        <f t="shared" si="11"/>
        <v>0</v>
      </c>
      <c r="J232" s="12">
        <f t="shared" si="12"/>
        <v>0</v>
      </c>
      <c r="K232" s="14"/>
    </row>
    <row r="233" spans="1:13" ht="29" x14ac:dyDescent="0.3">
      <c r="A233" s="37">
        <v>225</v>
      </c>
      <c r="B233" s="37" t="s">
        <v>565</v>
      </c>
      <c r="C233" s="38" t="s">
        <v>50</v>
      </c>
      <c r="D233" s="37" t="s">
        <v>12</v>
      </c>
      <c r="E233" s="39">
        <v>0</v>
      </c>
      <c r="F233" s="39">
        <v>3730</v>
      </c>
      <c r="G233" s="12"/>
      <c r="H233" s="12">
        <f t="shared" si="10"/>
        <v>0</v>
      </c>
      <c r="I233" s="12">
        <f t="shared" si="11"/>
        <v>0</v>
      </c>
      <c r="J233" s="12">
        <f t="shared" si="12"/>
        <v>0</v>
      </c>
      <c r="K233" s="14"/>
    </row>
    <row r="234" spans="1:13" ht="29" x14ac:dyDescent="0.3">
      <c r="A234" s="37">
        <v>226</v>
      </c>
      <c r="B234" s="40" t="s">
        <v>578</v>
      </c>
      <c r="C234" s="38" t="s">
        <v>57</v>
      </c>
      <c r="D234" s="37" t="s">
        <v>12</v>
      </c>
      <c r="E234" s="41">
        <v>69601</v>
      </c>
      <c r="F234" s="39">
        <v>0</v>
      </c>
      <c r="G234" s="12"/>
      <c r="H234" s="12">
        <f t="shared" si="10"/>
        <v>0</v>
      </c>
      <c r="I234" s="12">
        <f t="shared" si="11"/>
        <v>0</v>
      </c>
      <c r="J234" s="12">
        <f t="shared" si="12"/>
        <v>0</v>
      </c>
      <c r="K234" s="14"/>
    </row>
    <row r="235" spans="1:13" ht="29" x14ac:dyDescent="0.3">
      <c r="A235" s="37">
        <v>227</v>
      </c>
      <c r="B235" s="37" t="s">
        <v>579</v>
      </c>
      <c r="C235" s="38" t="s">
        <v>57</v>
      </c>
      <c r="D235" s="37" t="s">
        <v>12</v>
      </c>
      <c r="E235" s="39">
        <v>0</v>
      </c>
      <c r="F235" s="39">
        <v>4874</v>
      </c>
      <c r="G235" s="12"/>
      <c r="H235" s="12">
        <f t="shared" si="10"/>
        <v>0</v>
      </c>
      <c r="I235" s="12">
        <f t="shared" si="11"/>
        <v>0</v>
      </c>
      <c r="J235" s="12">
        <f t="shared" si="12"/>
        <v>0</v>
      </c>
      <c r="K235" s="14"/>
    </row>
    <row r="236" spans="1:13" ht="29" x14ac:dyDescent="0.3">
      <c r="A236" s="37">
        <v>228</v>
      </c>
      <c r="B236" s="40" t="s">
        <v>586</v>
      </c>
      <c r="C236" s="38" t="s">
        <v>61</v>
      </c>
      <c r="D236" s="37" t="s">
        <v>12</v>
      </c>
      <c r="E236" s="39">
        <v>82794</v>
      </c>
      <c r="F236" s="41">
        <v>0</v>
      </c>
      <c r="G236" s="12"/>
      <c r="H236" s="12">
        <f t="shared" si="10"/>
        <v>0</v>
      </c>
      <c r="I236" s="12">
        <f t="shared" si="11"/>
        <v>0</v>
      </c>
      <c r="J236" s="12">
        <f t="shared" si="12"/>
        <v>0</v>
      </c>
      <c r="K236" s="14"/>
    </row>
    <row r="237" spans="1:13" ht="29" x14ac:dyDescent="0.3">
      <c r="A237" s="37">
        <v>229</v>
      </c>
      <c r="B237" s="40" t="s">
        <v>587</v>
      </c>
      <c r="C237" s="38" t="s">
        <v>61</v>
      </c>
      <c r="D237" s="37" t="s">
        <v>12</v>
      </c>
      <c r="E237" s="41">
        <v>0</v>
      </c>
      <c r="F237" s="39">
        <v>6108</v>
      </c>
      <c r="G237" s="12"/>
      <c r="H237" s="12">
        <f t="shared" si="10"/>
        <v>0</v>
      </c>
      <c r="I237" s="12">
        <f t="shared" si="11"/>
        <v>0</v>
      </c>
      <c r="J237" s="12">
        <f t="shared" si="12"/>
        <v>0</v>
      </c>
      <c r="K237" s="14"/>
    </row>
    <row r="238" spans="1:13" ht="29" x14ac:dyDescent="0.3">
      <c r="A238" s="37">
        <v>230</v>
      </c>
      <c r="B238" s="37" t="s">
        <v>532</v>
      </c>
      <c r="C238" s="38" t="s">
        <v>34</v>
      </c>
      <c r="D238" s="37" t="s">
        <v>12</v>
      </c>
      <c r="E238" s="39">
        <v>24760</v>
      </c>
      <c r="F238" s="39">
        <v>0</v>
      </c>
      <c r="G238" s="12"/>
      <c r="H238" s="12">
        <f t="shared" si="10"/>
        <v>0</v>
      </c>
      <c r="I238" s="12">
        <f t="shared" si="11"/>
        <v>0</v>
      </c>
      <c r="J238" s="12">
        <f t="shared" si="12"/>
        <v>0</v>
      </c>
      <c r="K238" s="14"/>
    </row>
    <row r="239" spans="1:13" ht="29" x14ac:dyDescent="0.3">
      <c r="A239" s="37">
        <v>231</v>
      </c>
      <c r="B239" s="40" t="s">
        <v>533</v>
      </c>
      <c r="C239" s="38" t="s">
        <v>34</v>
      </c>
      <c r="D239" s="37" t="s">
        <v>12</v>
      </c>
      <c r="E239" s="39">
        <v>0</v>
      </c>
      <c r="F239" s="41">
        <v>2923</v>
      </c>
      <c r="G239" s="12"/>
      <c r="H239" s="12">
        <f t="shared" si="10"/>
        <v>0</v>
      </c>
      <c r="I239" s="12">
        <f t="shared" si="11"/>
        <v>0</v>
      </c>
      <c r="J239" s="12">
        <f t="shared" si="12"/>
        <v>0</v>
      </c>
      <c r="K239" s="14"/>
    </row>
    <row r="240" spans="1:13" ht="29" x14ac:dyDescent="0.3">
      <c r="A240" s="37">
        <v>232</v>
      </c>
      <c r="B240" s="40" t="s">
        <v>534</v>
      </c>
      <c r="C240" s="38" t="s">
        <v>35</v>
      </c>
      <c r="D240" s="37" t="s">
        <v>12</v>
      </c>
      <c r="E240" s="41">
        <v>34505</v>
      </c>
      <c r="F240" s="39">
        <v>0</v>
      </c>
      <c r="G240" s="12"/>
      <c r="H240" s="12">
        <f t="shared" si="10"/>
        <v>0</v>
      </c>
      <c r="I240" s="12">
        <f t="shared" si="11"/>
        <v>0</v>
      </c>
      <c r="J240" s="12">
        <f t="shared" si="12"/>
        <v>0</v>
      </c>
      <c r="K240" s="14"/>
    </row>
    <row r="241" spans="1:11" ht="29" x14ac:dyDescent="0.3">
      <c r="A241" s="37">
        <v>233</v>
      </c>
      <c r="B241" s="37" t="s">
        <v>535</v>
      </c>
      <c r="C241" s="38" t="s">
        <v>35</v>
      </c>
      <c r="D241" s="37" t="s">
        <v>12</v>
      </c>
      <c r="E241" s="39">
        <v>0</v>
      </c>
      <c r="F241" s="39">
        <v>3403</v>
      </c>
      <c r="G241" s="12"/>
      <c r="H241" s="12">
        <f t="shared" si="10"/>
        <v>0</v>
      </c>
      <c r="I241" s="12">
        <f t="shared" si="11"/>
        <v>0</v>
      </c>
      <c r="J241" s="12">
        <f t="shared" si="12"/>
        <v>0</v>
      </c>
      <c r="K241" s="14"/>
    </row>
    <row r="242" spans="1:11" ht="29" x14ac:dyDescent="0.3">
      <c r="A242" s="37">
        <v>234</v>
      </c>
      <c r="B242" s="40" t="s">
        <v>524</v>
      </c>
      <c r="C242" s="38" t="s">
        <v>30</v>
      </c>
      <c r="D242" s="37" t="s">
        <v>12</v>
      </c>
      <c r="E242" s="39">
        <v>5402</v>
      </c>
      <c r="F242" s="41">
        <v>0</v>
      </c>
      <c r="G242" s="12"/>
      <c r="H242" s="12">
        <f t="shared" si="10"/>
        <v>0</v>
      </c>
      <c r="I242" s="12">
        <f t="shared" si="11"/>
        <v>0</v>
      </c>
      <c r="J242" s="12">
        <f t="shared" si="12"/>
        <v>0</v>
      </c>
      <c r="K242" s="13"/>
    </row>
    <row r="243" spans="1:11" ht="29" x14ac:dyDescent="0.3">
      <c r="A243" s="37">
        <v>235</v>
      </c>
      <c r="B243" s="40" t="s">
        <v>525</v>
      </c>
      <c r="C243" s="38" t="s">
        <v>30</v>
      </c>
      <c r="D243" s="37" t="s">
        <v>12</v>
      </c>
      <c r="E243" s="41">
        <v>0</v>
      </c>
      <c r="F243" s="39">
        <v>1673</v>
      </c>
      <c r="G243" s="12"/>
      <c r="H243" s="12">
        <f t="shared" si="10"/>
        <v>0</v>
      </c>
      <c r="I243" s="12">
        <f t="shared" si="11"/>
        <v>0</v>
      </c>
      <c r="J243" s="12">
        <f t="shared" si="12"/>
        <v>0</v>
      </c>
      <c r="K243" s="13"/>
    </row>
    <row r="244" spans="1:11" ht="29" x14ac:dyDescent="0.3">
      <c r="A244" s="37">
        <v>236</v>
      </c>
      <c r="B244" s="37" t="s">
        <v>538</v>
      </c>
      <c r="C244" s="38" t="s">
        <v>37</v>
      </c>
      <c r="D244" s="37" t="s">
        <v>12</v>
      </c>
      <c r="E244" s="39">
        <v>10947</v>
      </c>
      <c r="F244" s="39">
        <v>0</v>
      </c>
      <c r="G244" s="12"/>
      <c r="H244" s="12">
        <f t="shared" si="10"/>
        <v>0</v>
      </c>
      <c r="I244" s="12">
        <f t="shared" si="11"/>
        <v>0</v>
      </c>
      <c r="J244" s="12">
        <f t="shared" si="12"/>
        <v>0</v>
      </c>
      <c r="K244" s="13"/>
    </row>
    <row r="245" spans="1:11" ht="29" x14ac:dyDescent="0.3">
      <c r="A245" s="37">
        <v>237</v>
      </c>
      <c r="B245" s="40" t="s">
        <v>539</v>
      </c>
      <c r="C245" s="38" t="s">
        <v>37</v>
      </c>
      <c r="D245" s="37" t="s">
        <v>12</v>
      </c>
      <c r="E245" s="39">
        <v>0</v>
      </c>
      <c r="F245" s="41">
        <v>2162</v>
      </c>
      <c r="G245" s="12"/>
      <c r="H245" s="12">
        <f t="shared" si="10"/>
        <v>0</v>
      </c>
      <c r="I245" s="12">
        <f t="shared" si="11"/>
        <v>0</v>
      </c>
      <c r="J245" s="12">
        <f t="shared" si="12"/>
        <v>0</v>
      </c>
      <c r="K245" s="14"/>
    </row>
    <row r="246" spans="1:11" ht="29" x14ac:dyDescent="0.3">
      <c r="A246" s="37">
        <v>238</v>
      </c>
      <c r="B246" s="40" t="s">
        <v>546</v>
      </c>
      <c r="C246" s="38" t="s">
        <v>41</v>
      </c>
      <c r="D246" s="37" t="s">
        <v>12</v>
      </c>
      <c r="E246" s="41">
        <v>12936</v>
      </c>
      <c r="F246" s="39">
        <v>0</v>
      </c>
      <c r="G246" s="12"/>
      <c r="H246" s="12">
        <f t="shared" si="10"/>
        <v>0</v>
      </c>
      <c r="I246" s="12">
        <f t="shared" si="11"/>
        <v>0</v>
      </c>
      <c r="J246" s="12">
        <f t="shared" si="12"/>
        <v>0</v>
      </c>
      <c r="K246" s="14"/>
    </row>
    <row r="247" spans="1:11" ht="29" x14ac:dyDescent="0.3">
      <c r="A247" s="37">
        <v>239</v>
      </c>
      <c r="B247" s="37" t="s">
        <v>547</v>
      </c>
      <c r="C247" s="38" t="s">
        <v>41</v>
      </c>
      <c r="D247" s="37" t="s">
        <v>12</v>
      </c>
      <c r="E247" s="39">
        <v>0</v>
      </c>
      <c r="F247" s="39">
        <v>2723</v>
      </c>
      <c r="G247" s="12"/>
      <c r="H247" s="12">
        <f t="shared" si="10"/>
        <v>0</v>
      </c>
      <c r="I247" s="12">
        <f t="shared" si="11"/>
        <v>0</v>
      </c>
      <c r="J247" s="12">
        <f t="shared" si="12"/>
        <v>0</v>
      </c>
      <c r="K247" s="14"/>
    </row>
    <row r="248" spans="1:11" ht="29" x14ac:dyDescent="0.3">
      <c r="A248" s="37">
        <v>240</v>
      </c>
      <c r="B248" s="40" t="s">
        <v>554</v>
      </c>
      <c r="C248" s="38" t="s">
        <v>45</v>
      </c>
      <c r="D248" s="37" t="s">
        <v>12</v>
      </c>
      <c r="E248" s="39">
        <v>15643</v>
      </c>
      <c r="F248" s="41">
        <v>0</v>
      </c>
      <c r="G248" s="12"/>
      <c r="H248" s="12">
        <f t="shared" si="10"/>
        <v>0</v>
      </c>
      <c r="I248" s="12">
        <f t="shared" si="11"/>
        <v>0</v>
      </c>
      <c r="J248" s="12">
        <f t="shared" si="12"/>
        <v>0</v>
      </c>
      <c r="K248" s="14"/>
    </row>
    <row r="249" spans="1:11" ht="29" x14ac:dyDescent="0.3">
      <c r="A249" s="37">
        <v>241</v>
      </c>
      <c r="B249" s="40" t="s">
        <v>555</v>
      </c>
      <c r="C249" s="38" t="s">
        <v>45</v>
      </c>
      <c r="D249" s="37" t="s">
        <v>12</v>
      </c>
      <c r="E249" s="41">
        <v>0</v>
      </c>
      <c r="F249" s="39">
        <v>2880</v>
      </c>
      <c r="G249" s="12"/>
      <c r="H249" s="12">
        <f t="shared" si="10"/>
        <v>0</v>
      </c>
      <c r="I249" s="12">
        <f t="shared" si="11"/>
        <v>0</v>
      </c>
      <c r="J249" s="12">
        <f t="shared" si="12"/>
        <v>0</v>
      </c>
      <c r="K249" s="14"/>
    </row>
    <row r="250" spans="1:11" ht="29" x14ac:dyDescent="0.3">
      <c r="A250" s="37">
        <v>242</v>
      </c>
      <c r="B250" s="37" t="s">
        <v>536</v>
      </c>
      <c r="C250" s="38" t="s">
        <v>36</v>
      </c>
      <c r="D250" s="37" t="s">
        <v>12</v>
      </c>
      <c r="E250" s="39">
        <v>42159</v>
      </c>
      <c r="F250" s="39">
        <v>0</v>
      </c>
      <c r="G250" s="12"/>
      <c r="H250" s="12">
        <f t="shared" si="10"/>
        <v>0</v>
      </c>
      <c r="I250" s="12">
        <f t="shared" si="11"/>
        <v>0</v>
      </c>
      <c r="J250" s="12">
        <f t="shared" si="12"/>
        <v>0</v>
      </c>
      <c r="K250" s="14"/>
    </row>
    <row r="251" spans="1:11" ht="29" x14ac:dyDescent="0.3">
      <c r="A251" s="37">
        <v>243</v>
      </c>
      <c r="B251" s="40" t="s">
        <v>537</v>
      </c>
      <c r="C251" s="38" t="s">
        <v>36</v>
      </c>
      <c r="D251" s="37" t="s">
        <v>12</v>
      </c>
      <c r="E251" s="39">
        <v>0</v>
      </c>
      <c r="F251" s="41">
        <v>3885</v>
      </c>
      <c r="G251" s="12"/>
      <c r="H251" s="12">
        <f t="shared" si="10"/>
        <v>0</v>
      </c>
      <c r="I251" s="12">
        <f t="shared" si="11"/>
        <v>0</v>
      </c>
      <c r="J251" s="12">
        <f t="shared" si="12"/>
        <v>0</v>
      </c>
      <c r="K251" s="14"/>
    </row>
    <row r="252" spans="1:11" ht="29" x14ac:dyDescent="0.3">
      <c r="A252" s="37">
        <v>244</v>
      </c>
      <c r="B252" s="40" t="s">
        <v>526</v>
      </c>
      <c r="C252" s="38" t="s">
        <v>31</v>
      </c>
      <c r="D252" s="37" t="s">
        <v>12</v>
      </c>
      <c r="E252" s="41">
        <v>7346</v>
      </c>
      <c r="F252" s="39">
        <v>0</v>
      </c>
      <c r="G252" s="12"/>
      <c r="H252" s="12">
        <f t="shared" si="10"/>
        <v>0</v>
      </c>
      <c r="I252" s="12">
        <f t="shared" si="11"/>
        <v>0</v>
      </c>
      <c r="J252" s="12">
        <f t="shared" si="12"/>
        <v>0</v>
      </c>
      <c r="K252" s="14"/>
    </row>
    <row r="253" spans="1:11" ht="29" x14ac:dyDescent="0.3">
      <c r="A253" s="37">
        <v>245</v>
      </c>
      <c r="B253" s="37" t="s">
        <v>527</v>
      </c>
      <c r="C253" s="38" t="s">
        <v>31</v>
      </c>
      <c r="D253" s="37" t="s">
        <v>12</v>
      </c>
      <c r="E253" s="39">
        <v>0</v>
      </c>
      <c r="F253" s="39">
        <v>2203</v>
      </c>
      <c r="G253" s="12"/>
      <c r="H253" s="12">
        <f t="shared" si="10"/>
        <v>0</v>
      </c>
      <c r="I253" s="12">
        <f t="shared" si="11"/>
        <v>0</v>
      </c>
      <c r="J253" s="12">
        <f t="shared" si="12"/>
        <v>0</v>
      </c>
      <c r="K253" s="14"/>
    </row>
    <row r="254" spans="1:11" ht="29" x14ac:dyDescent="0.3">
      <c r="A254" s="37">
        <v>246</v>
      </c>
      <c r="B254" s="40" t="s">
        <v>540</v>
      </c>
      <c r="C254" s="38" t="s">
        <v>38</v>
      </c>
      <c r="D254" s="37" t="s">
        <v>12</v>
      </c>
      <c r="E254" s="39">
        <v>15638</v>
      </c>
      <c r="F254" s="41">
        <v>0</v>
      </c>
      <c r="G254" s="12"/>
      <c r="H254" s="12">
        <f t="shared" si="10"/>
        <v>0</v>
      </c>
      <c r="I254" s="12">
        <f t="shared" si="11"/>
        <v>0</v>
      </c>
      <c r="J254" s="12">
        <f t="shared" si="12"/>
        <v>0</v>
      </c>
      <c r="K254" s="14"/>
    </row>
    <row r="255" spans="1:11" ht="29" x14ac:dyDescent="0.3">
      <c r="A255" s="37">
        <v>247</v>
      </c>
      <c r="B255" s="40" t="s">
        <v>541</v>
      </c>
      <c r="C255" s="38" t="s">
        <v>38</v>
      </c>
      <c r="D255" s="37" t="s">
        <v>12</v>
      </c>
      <c r="E255" s="41">
        <v>0</v>
      </c>
      <c r="F255" s="39">
        <v>2522</v>
      </c>
      <c r="G255" s="12"/>
      <c r="H255" s="12">
        <f t="shared" si="10"/>
        <v>0</v>
      </c>
      <c r="I255" s="12">
        <f t="shared" si="11"/>
        <v>0</v>
      </c>
      <c r="J255" s="12">
        <f t="shared" si="12"/>
        <v>0</v>
      </c>
      <c r="K255" s="14"/>
    </row>
    <row r="256" spans="1:11" ht="29" x14ac:dyDescent="0.3">
      <c r="A256" s="37">
        <v>248</v>
      </c>
      <c r="B256" s="37" t="s">
        <v>548</v>
      </c>
      <c r="C256" s="38" t="s">
        <v>42</v>
      </c>
      <c r="D256" s="37" t="s">
        <v>12</v>
      </c>
      <c r="E256" s="39">
        <v>18643</v>
      </c>
      <c r="F256" s="39">
        <v>0</v>
      </c>
      <c r="G256" s="12"/>
      <c r="H256" s="12">
        <f t="shared" si="10"/>
        <v>0</v>
      </c>
      <c r="I256" s="12">
        <f t="shared" si="11"/>
        <v>0</v>
      </c>
      <c r="J256" s="12">
        <f t="shared" si="12"/>
        <v>0</v>
      </c>
      <c r="K256" s="14"/>
    </row>
    <row r="257" spans="1:11" ht="29" x14ac:dyDescent="0.3">
      <c r="A257" s="37">
        <v>249</v>
      </c>
      <c r="B257" s="40" t="s">
        <v>549</v>
      </c>
      <c r="C257" s="38" t="s">
        <v>42</v>
      </c>
      <c r="D257" s="37" t="s">
        <v>12</v>
      </c>
      <c r="E257" s="39">
        <v>0</v>
      </c>
      <c r="F257" s="41">
        <v>3124</v>
      </c>
      <c r="G257" s="12"/>
      <c r="H257" s="12">
        <f t="shared" si="10"/>
        <v>0</v>
      </c>
      <c r="I257" s="12">
        <f t="shared" si="11"/>
        <v>0</v>
      </c>
      <c r="J257" s="12">
        <f t="shared" si="12"/>
        <v>0</v>
      </c>
      <c r="K257" s="14"/>
    </row>
    <row r="258" spans="1:11" ht="29" x14ac:dyDescent="0.3">
      <c r="A258" s="37">
        <v>250</v>
      </c>
      <c r="B258" s="40" t="s">
        <v>556</v>
      </c>
      <c r="C258" s="38" t="s">
        <v>46</v>
      </c>
      <c r="D258" s="37" t="s">
        <v>12</v>
      </c>
      <c r="E258" s="41">
        <v>22544</v>
      </c>
      <c r="F258" s="39">
        <v>0</v>
      </c>
      <c r="G258" s="12"/>
      <c r="H258" s="12">
        <f t="shared" si="10"/>
        <v>0</v>
      </c>
      <c r="I258" s="12">
        <f t="shared" si="11"/>
        <v>0</v>
      </c>
      <c r="J258" s="12">
        <f t="shared" si="12"/>
        <v>0</v>
      </c>
      <c r="K258" s="14"/>
    </row>
    <row r="259" spans="1:11" ht="29" x14ac:dyDescent="0.3">
      <c r="A259" s="37">
        <v>251</v>
      </c>
      <c r="B259" s="37" t="s">
        <v>557</v>
      </c>
      <c r="C259" s="38" t="s">
        <v>46</v>
      </c>
      <c r="D259" s="37" t="s">
        <v>12</v>
      </c>
      <c r="E259" s="39">
        <v>0</v>
      </c>
      <c r="F259" s="39">
        <v>3304</v>
      </c>
      <c r="G259" s="12"/>
      <c r="H259" s="12">
        <f t="shared" si="10"/>
        <v>0</v>
      </c>
      <c r="I259" s="12">
        <f t="shared" si="11"/>
        <v>0</v>
      </c>
      <c r="J259" s="12">
        <f t="shared" si="12"/>
        <v>0</v>
      </c>
      <c r="K259" s="14"/>
    </row>
    <row r="260" spans="1:11" ht="29" x14ac:dyDescent="0.3">
      <c r="A260" s="37">
        <v>252</v>
      </c>
      <c r="B260" s="40" t="s">
        <v>528</v>
      </c>
      <c r="C260" s="38" t="s">
        <v>32</v>
      </c>
      <c r="D260" s="37" t="s">
        <v>12</v>
      </c>
      <c r="E260" s="39">
        <v>11610</v>
      </c>
      <c r="F260" s="41">
        <v>0</v>
      </c>
      <c r="G260" s="12"/>
      <c r="H260" s="12">
        <f t="shared" si="10"/>
        <v>0</v>
      </c>
      <c r="I260" s="12">
        <f t="shared" si="11"/>
        <v>0</v>
      </c>
      <c r="J260" s="12">
        <f t="shared" si="12"/>
        <v>0</v>
      </c>
      <c r="K260" s="14"/>
    </row>
    <row r="261" spans="1:11" ht="29" x14ac:dyDescent="0.3">
      <c r="A261" s="37">
        <v>253</v>
      </c>
      <c r="B261" s="40" t="s">
        <v>529</v>
      </c>
      <c r="C261" s="38" t="s">
        <v>32</v>
      </c>
      <c r="D261" s="37" t="s">
        <v>12</v>
      </c>
      <c r="E261" s="41">
        <v>0</v>
      </c>
      <c r="F261" s="39">
        <v>2522</v>
      </c>
      <c r="G261" s="12"/>
      <c r="H261" s="12">
        <f t="shared" si="10"/>
        <v>0</v>
      </c>
      <c r="I261" s="12">
        <f t="shared" si="11"/>
        <v>0</v>
      </c>
      <c r="J261" s="12">
        <f t="shared" si="12"/>
        <v>0</v>
      </c>
      <c r="K261" s="14"/>
    </row>
    <row r="262" spans="1:11" ht="29" x14ac:dyDescent="0.3">
      <c r="A262" s="37">
        <v>254</v>
      </c>
      <c r="B262" s="37" t="s">
        <v>542</v>
      </c>
      <c r="C262" s="38" t="s">
        <v>39</v>
      </c>
      <c r="D262" s="37" t="s">
        <v>12</v>
      </c>
      <c r="E262" s="39">
        <v>27840</v>
      </c>
      <c r="F262" s="39">
        <v>0</v>
      </c>
      <c r="G262" s="12"/>
      <c r="H262" s="12">
        <f t="shared" si="10"/>
        <v>0</v>
      </c>
      <c r="I262" s="12">
        <f t="shared" si="11"/>
        <v>0</v>
      </c>
      <c r="J262" s="12">
        <f t="shared" si="12"/>
        <v>0</v>
      </c>
      <c r="K262" s="14"/>
    </row>
    <row r="263" spans="1:11" ht="29" x14ac:dyDescent="0.3">
      <c r="A263" s="37">
        <v>255</v>
      </c>
      <c r="B263" s="40" t="s">
        <v>543</v>
      </c>
      <c r="C263" s="38" t="s">
        <v>39</v>
      </c>
      <c r="D263" s="37" t="s">
        <v>12</v>
      </c>
      <c r="E263" s="39">
        <v>0</v>
      </c>
      <c r="F263" s="41">
        <v>2883</v>
      </c>
      <c r="G263" s="12"/>
      <c r="H263" s="12">
        <f t="shared" si="10"/>
        <v>0</v>
      </c>
      <c r="I263" s="12">
        <f t="shared" si="11"/>
        <v>0</v>
      </c>
      <c r="J263" s="12">
        <f t="shared" si="12"/>
        <v>0</v>
      </c>
      <c r="K263" s="14"/>
    </row>
    <row r="264" spans="1:11" ht="29" x14ac:dyDescent="0.3">
      <c r="A264" s="37">
        <v>256</v>
      </c>
      <c r="B264" s="40" t="s">
        <v>550</v>
      </c>
      <c r="C264" s="38" t="s">
        <v>43</v>
      </c>
      <c r="D264" s="37" t="s">
        <v>12</v>
      </c>
      <c r="E264" s="41">
        <v>33408</v>
      </c>
      <c r="F264" s="39">
        <v>0</v>
      </c>
      <c r="G264" s="12"/>
      <c r="H264" s="12">
        <f t="shared" si="10"/>
        <v>0</v>
      </c>
      <c r="I264" s="12">
        <f t="shared" si="11"/>
        <v>0</v>
      </c>
      <c r="J264" s="12">
        <f t="shared" si="12"/>
        <v>0</v>
      </c>
      <c r="K264" s="14"/>
    </row>
    <row r="265" spans="1:11" ht="29" x14ac:dyDescent="0.3">
      <c r="A265" s="37">
        <v>257</v>
      </c>
      <c r="B265" s="37" t="s">
        <v>551</v>
      </c>
      <c r="C265" s="38" t="s">
        <v>43</v>
      </c>
      <c r="D265" s="37" t="s">
        <v>12</v>
      </c>
      <c r="E265" s="39">
        <v>0</v>
      </c>
      <c r="F265" s="39">
        <v>3886</v>
      </c>
      <c r="G265" s="12"/>
      <c r="H265" s="12">
        <f t="shared" si="10"/>
        <v>0</v>
      </c>
      <c r="I265" s="12">
        <f t="shared" si="11"/>
        <v>0</v>
      </c>
      <c r="J265" s="12">
        <f t="shared" si="12"/>
        <v>0</v>
      </c>
      <c r="K265" s="14"/>
    </row>
    <row r="266" spans="1:11" ht="29" x14ac:dyDescent="0.3">
      <c r="A266" s="37">
        <v>258</v>
      </c>
      <c r="B266" s="40" t="s">
        <v>530</v>
      </c>
      <c r="C266" s="38" t="s">
        <v>33</v>
      </c>
      <c r="D266" s="37" t="s">
        <v>12</v>
      </c>
      <c r="E266" s="39">
        <v>16467</v>
      </c>
      <c r="F266" s="41">
        <v>0</v>
      </c>
      <c r="G266" s="12"/>
      <c r="H266" s="12">
        <f t="shared" ref="H266:H329" si="13">E266*G266</f>
        <v>0</v>
      </c>
      <c r="I266" s="12">
        <f t="shared" ref="I266:I329" si="14">F266*G266</f>
        <v>0</v>
      </c>
      <c r="J266" s="12">
        <f t="shared" ref="J266:J329" si="15">SUM(H266:I266)</f>
        <v>0</v>
      </c>
      <c r="K266" s="14"/>
    </row>
    <row r="267" spans="1:11" ht="29" x14ac:dyDescent="0.3">
      <c r="A267" s="37">
        <v>259</v>
      </c>
      <c r="B267" s="40" t="s">
        <v>531</v>
      </c>
      <c r="C267" s="38" t="s">
        <v>33</v>
      </c>
      <c r="D267" s="37" t="s">
        <v>12</v>
      </c>
      <c r="E267" s="41">
        <v>0</v>
      </c>
      <c r="F267" s="39">
        <v>2543</v>
      </c>
      <c r="G267" s="12"/>
      <c r="H267" s="12">
        <f t="shared" si="13"/>
        <v>0</v>
      </c>
      <c r="I267" s="12">
        <f t="shared" si="14"/>
        <v>0</v>
      </c>
      <c r="J267" s="12">
        <f t="shared" si="15"/>
        <v>0</v>
      </c>
      <c r="K267" s="14"/>
    </row>
    <row r="268" spans="1:11" ht="29" x14ac:dyDescent="0.3">
      <c r="A268" s="37">
        <v>260</v>
      </c>
      <c r="B268" s="37" t="s">
        <v>544</v>
      </c>
      <c r="C268" s="38" t="s">
        <v>40</v>
      </c>
      <c r="D268" s="37" t="s">
        <v>12</v>
      </c>
      <c r="E268" s="39">
        <v>40754</v>
      </c>
      <c r="F268" s="39">
        <v>0</v>
      </c>
      <c r="G268" s="12"/>
      <c r="H268" s="12">
        <f t="shared" si="13"/>
        <v>0</v>
      </c>
      <c r="I268" s="12">
        <f t="shared" si="14"/>
        <v>0</v>
      </c>
      <c r="J268" s="12">
        <f t="shared" si="15"/>
        <v>0</v>
      </c>
      <c r="K268" s="14"/>
    </row>
    <row r="269" spans="1:11" ht="29" x14ac:dyDescent="0.3">
      <c r="A269" s="37">
        <v>261</v>
      </c>
      <c r="B269" s="40" t="s">
        <v>545</v>
      </c>
      <c r="C269" s="38" t="s">
        <v>40</v>
      </c>
      <c r="D269" s="37" t="s">
        <v>12</v>
      </c>
      <c r="E269" s="39">
        <v>0</v>
      </c>
      <c r="F269" s="41">
        <v>3324</v>
      </c>
      <c r="G269" s="12"/>
      <c r="H269" s="12">
        <f t="shared" si="13"/>
        <v>0</v>
      </c>
      <c r="I269" s="12">
        <f t="shared" si="14"/>
        <v>0</v>
      </c>
      <c r="J269" s="12">
        <f t="shared" si="15"/>
        <v>0</v>
      </c>
      <c r="K269" s="14"/>
    </row>
    <row r="270" spans="1:11" ht="29" x14ac:dyDescent="0.3">
      <c r="A270" s="37">
        <v>262</v>
      </c>
      <c r="B270" s="40" t="s">
        <v>552</v>
      </c>
      <c r="C270" s="38" t="s">
        <v>44</v>
      </c>
      <c r="D270" s="37" t="s">
        <v>12</v>
      </c>
      <c r="E270" s="41">
        <v>49164</v>
      </c>
      <c r="F270" s="39">
        <v>0</v>
      </c>
      <c r="G270" s="12"/>
      <c r="H270" s="12">
        <f t="shared" si="13"/>
        <v>0</v>
      </c>
      <c r="I270" s="12">
        <f t="shared" si="14"/>
        <v>0</v>
      </c>
      <c r="J270" s="12">
        <f t="shared" si="15"/>
        <v>0</v>
      </c>
      <c r="K270" s="14"/>
    </row>
    <row r="271" spans="1:11" ht="29" x14ac:dyDescent="0.3">
      <c r="A271" s="37">
        <v>263</v>
      </c>
      <c r="B271" s="37" t="s">
        <v>553</v>
      </c>
      <c r="C271" s="38" t="s">
        <v>44</v>
      </c>
      <c r="D271" s="37" t="s">
        <v>12</v>
      </c>
      <c r="E271" s="39">
        <v>0</v>
      </c>
      <c r="F271" s="39">
        <v>4164</v>
      </c>
      <c r="G271" s="12"/>
      <c r="H271" s="12">
        <f t="shared" si="13"/>
        <v>0</v>
      </c>
      <c r="I271" s="12">
        <f t="shared" si="14"/>
        <v>0</v>
      </c>
      <c r="J271" s="12">
        <f t="shared" si="15"/>
        <v>0</v>
      </c>
      <c r="K271" s="14"/>
    </row>
    <row r="272" spans="1:11" ht="14.5" x14ac:dyDescent="0.3">
      <c r="A272" s="37">
        <v>264</v>
      </c>
      <c r="B272" s="40" t="s">
        <v>592</v>
      </c>
      <c r="C272" s="38" t="s">
        <v>591</v>
      </c>
      <c r="D272" s="37" t="s">
        <v>13</v>
      </c>
      <c r="E272" s="39">
        <v>13044</v>
      </c>
      <c r="F272" s="41">
        <v>0</v>
      </c>
      <c r="G272" s="12"/>
      <c r="H272" s="12">
        <f t="shared" si="13"/>
        <v>0</v>
      </c>
      <c r="I272" s="12">
        <f t="shared" si="14"/>
        <v>0</v>
      </c>
      <c r="J272" s="12">
        <f t="shared" si="15"/>
        <v>0</v>
      </c>
      <c r="K272" s="14"/>
    </row>
    <row r="273" spans="1:11" ht="14.5" x14ac:dyDescent="0.3">
      <c r="A273" s="37">
        <v>265</v>
      </c>
      <c r="B273" s="40" t="s">
        <v>593</v>
      </c>
      <c r="C273" s="38" t="s">
        <v>591</v>
      </c>
      <c r="D273" s="37" t="s">
        <v>13</v>
      </c>
      <c r="E273" s="41">
        <v>0</v>
      </c>
      <c r="F273" s="39">
        <v>468</v>
      </c>
      <c r="G273" s="12"/>
      <c r="H273" s="12">
        <f t="shared" si="13"/>
        <v>0</v>
      </c>
      <c r="I273" s="12">
        <f t="shared" si="14"/>
        <v>0</v>
      </c>
      <c r="J273" s="12">
        <f t="shared" si="15"/>
        <v>0</v>
      </c>
      <c r="K273" s="14"/>
    </row>
    <row r="274" spans="1:11" ht="14.5" x14ac:dyDescent="0.3">
      <c r="A274" s="37">
        <v>266</v>
      </c>
      <c r="B274" s="37" t="s">
        <v>595</v>
      </c>
      <c r="C274" s="38" t="s">
        <v>594</v>
      </c>
      <c r="D274" s="37" t="s">
        <v>13</v>
      </c>
      <c r="E274" s="39">
        <v>13044</v>
      </c>
      <c r="F274" s="39">
        <v>0</v>
      </c>
      <c r="G274" s="12"/>
      <c r="H274" s="12">
        <f t="shared" si="13"/>
        <v>0</v>
      </c>
      <c r="I274" s="12">
        <f t="shared" si="14"/>
        <v>0</v>
      </c>
      <c r="J274" s="12">
        <f t="shared" si="15"/>
        <v>0</v>
      </c>
      <c r="K274" s="14"/>
    </row>
    <row r="275" spans="1:11" ht="14.5" x14ac:dyDescent="0.3">
      <c r="A275" s="37">
        <v>267</v>
      </c>
      <c r="B275" s="40" t="s">
        <v>596</v>
      </c>
      <c r="C275" s="38" t="s">
        <v>594</v>
      </c>
      <c r="D275" s="37" t="s">
        <v>13</v>
      </c>
      <c r="E275" s="39">
        <v>0</v>
      </c>
      <c r="F275" s="41">
        <v>468</v>
      </c>
      <c r="G275" s="12"/>
      <c r="H275" s="12">
        <f t="shared" si="13"/>
        <v>0</v>
      </c>
      <c r="I275" s="12">
        <f t="shared" si="14"/>
        <v>0</v>
      </c>
      <c r="J275" s="12">
        <f t="shared" si="15"/>
        <v>0</v>
      </c>
      <c r="K275" s="14"/>
    </row>
    <row r="276" spans="1:11" ht="14.5" x14ac:dyDescent="0.3">
      <c r="A276" s="37">
        <v>268</v>
      </c>
      <c r="B276" s="40" t="s">
        <v>589</v>
      </c>
      <c r="C276" s="38" t="s">
        <v>588</v>
      </c>
      <c r="D276" s="37" t="s">
        <v>13</v>
      </c>
      <c r="E276" s="41">
        <v>13044</v>
      </c>
      <c r="F276" s="39">
        <v>0</v>
      </c>
      <c r="G276" s="12"/>
      <c r="H276" s="12">
        <f t="shared" si="13"/>
        <v>0</v>
      </c>
      <c r="I276" s="12">
        <f t="shared" si="14"/>
        <v>0</v>
      </c>
      <c r="J276" s="12">
        <f t="shared" si="15"/>
        <v>0</v>
      </c>
      <c r="K276" s="14"/>
    </row>
    <row r="277" spans="1:11" ht="14.5" x14ac:dyDescent="0.3">
      <c r="A277" s="37">
        <v>269</v>
      </c>
      <c r="B277" s="37" t="s">
        <v>590</v>
      </c>
      <c r="C277" s="38" t="s">
        <v>588</v>
      </c>
      <c r="D277" s="37" t="s">
        <v>13</v>
      </c>
      <c r="E277" s="39">
        <v>0</v>
      </c>
      <c r="F277" s="39">
        <v>468</v>
      </c>
      <c r="G277" s="12"/>
      <c r="H277" s="12">
        <f t="shared" si="13"/>
        <v>0</v>
      </c>
      <c r="I277" s="12">
        <f t="shared" si="14"/>
        <v>0</v>
      </c>
      <c r="J277" s="12">
        <f t="shared" si="15"/>
        <v>0</v>
      </c>
      <c r="K277" s="14"/>
    </row>
    <row r="278" spans="1:11" ht="14.5" x14ac:dyDescent="0.3">
      <c r="A278" s="37">
        <v>270</v>
      </c>
      <c r="B278" s="40" t="s">
        <v>519</v>
      </c>
      <c r="C278" s="38" t="s">
        <v>518</v>
      </c>
      <c r="D278" s="37" t="s">
        <v>13</v>
      </c>
      <c r="E278" s="39">
        <v>23716</v>
      </c>
      <c r="F278" s="41">
        <v>0</v>
      </c>
      <c r="G278" s="12"/>
      <c r="H278" s="12">
        <f t="shared" si="13"/>
        <v>0</v>
      </c>
      <c r="I278" s="12">
        <f t="shared" si="14"/>
        <v>0</v>
      </c>
      <c r="J278" s="12">
        <f t="shared" si="15"/>
        <v>0</v>
      </c>
      <c r="K278" s="14"/>
    </row>
    <row r="279" spans="1:11" ht="14.5" x14ac:dyDescent="0.3">
      <c r="A279" s="37">
        <v>271</v>
      </c>
      <c r="B279" s="40" t="s">
        <v>520</v>
      </c>
      <c r="C279" s="38" t="s">
        <v>518</v>
      </c>
      <c r="D279" s="37" t="s">
        <v>13</v>
      </c>
      <c r="E279" s="41">
        <v>0</v>
      </c>
      <c r="F279" s="39">
        <v>468</v>
      </c>
      <c r="G279" s="12"/>
      <c r="H279" s="12">
        <f t="shared" si="13"/>
        <v>0</v>
      </c>
      <c r="I279" s="12">
        <f t="shared" si="14"/>
        <v>0</v>
      </c>
      <c r="J279" s="12">
        <f t="shared" si="15"/>
        <v>0</v>
      </c>
      <c r="K279" s="14"/>
    </row>
    <row r="280" spans="1:11" ht="14.5" x14ac:dyDescent="0.3">
      <c r="A280" s="37">
        <v>272</v>
      </c>
      <c r="B280" s="37" t="s">
        <v>522</v>
      </c>
      <c r="C280" s="38" t="s">
        <v>521</v>
      </c>
      <c r="D280" s="37" t="s">
        <v>13</v>
      </c>
      <c r="E280" s="39">
        <v>25021</v>
      </c>
      <c r="F280" s="39">
        <v>0</v>
      </c>
      <c r="G280" s="12"/>
      <c r="H280" s="12">
        <f t="shared" si="13"/>
        <v>0</v>
      </c>
      <c r="I280" s="12">
        <f t="shared" si="14"/>
        <v>0</v>
      </c>
      <c r="J280" s="12">
        <f t="shared" si="15"/>
        <v>0</v>
      </c>
      <c r="K280" s="14"/>
    </row>
    <row r="281" spans="1:11" ht="14.5" x14ac:dyDescent="0.3">
      <c r="A281" s="37">
        <v>273</v>
      </c>
      <c r="B281" s="40" t="s">
        <v>523</v>
      </c>
      <c r="C281" s="38" t="s">
        <v>521</v>
      </c>
      <c r="D281" s="37" t="s">
        <v>13</v>
      </c>
      <c r="E281" s="39">
        <v>0</v>
      </c>
      <c r="F281" s="41">
        <v>468</v>
      </c>
      <c r="G281" s="12"/>
      <c r="H281" s="12">
        <f t="shared" si="13"/>
        <v>0</v>
      </c>
      <c r="I281" s="12">
        <f t="shared" si="14"/>
        <v>0</v>
      </c>
      <c r="J281" s="12">
        <f t="shared" si="15"/>
        <v>0</v>
      </c>
      <c r="K281" s="14"/>
    </row>
    <row r="282" spans="1:11" ht="14.5" x14ac:dyDescent="0.3">
      <c r="A282" s="37">
        <v>274</v>
      </c>
      <c r="B282" s="40" t="s">
        <v>516</v>
      </c>
      <c r="C282" s="38" t="s">
        <v>515</v>
      </c>
      <c r="D282" s="37" t="s">
        <v>13</v>
      </c>
      <c r="E282" s="41">
        <v>22531</v>
      </c>
      <c r="F282" s="39">
        <v>0</v>
      </c>
      <c r="G282" s="12"/>
      <c r="H282" s="12">
        <f t="shared" si="13"/>
        <v>0</v>
      </c>
      <c r="I282" s="12">
        <f t="shared" si="14"/>
        <v>0</v>
      </c>
      <c r="J282" s="12">
        <f t="shared" si="15"/>
        <v>0</v>
      </c>
      <c r="K282" s="14"/>
    </row>
    <row r="283" spans="1:11" ht="14.5" x14ac:dyDescent="0.3">
      <c r="A283" s="37">
        <v>275</v>
      </c>
      <c r="B283" s="37" t="s">
        <v>517</v>
      </c>
      <c r="C283" s="38" t="s">
        <v>515</v>
      </c>
      <c r="D283" s="37" t="s">
        <v>13</v>
      </c>
      <c r="E283" s="39">
        <v>0</v>
      </c>
      <c r="F283" s="39">
        <v>468</v>
      </c>
      <c r="G283" s="12"/>
      <c r="H283" s="12">
        <f t="shared" si="13"/>
        <v>0</v>
      </c>
      <c r="I283" s="12">
        <f t="shared" si="14"/>
        <v>0</v>
      </c>
      <c r="J283" s="12">
        <f t="shared" si="15"/>
        <v>0</v>
      </c>
      <c r="K283" s="14"/>
    </row>
    <row r="284" spans="1:11" ht="29" x14ac:dyDescent="0.3">
      <c r="A284" s="37">
        <v>276</v>
      </c>
      <c r="B284" s="40" t="s">
        <v>472</v>
      </c>
      <c r="C284" s="38" t="s">
        <v>471</v>
      </c>
      <c r="D284" s="37" t="s">
        <v>12</v>
      </c>
      <c r="E284" s="39">
        <v>0</v>
      </c>
      <c r="F284" s="41">
        <v>1817</v>
      </c>
      <c r="G284" s="12"/>
      <c r="H284" s="12">
        <f t="shared" si="13"/>
        <v>0</v>
      </c>
      <c r="I284" s="12">
        <f t="shared" si="14"/>
        <v>0</v>
      </c>
      <c r="J284" s="12">
        <f t="shared" si="15"/>
        <v>0</v>
      </c>
      <c r="K284" s="14"/>
    </row>
    <row r="285" spans="1:11" ht="14.5" x14ac:dyDescent="0.3">
      <c r="A285" s="37">
        <v>277</v>
      </c>
      <c r="B285" s="40" t="s">
        <v>474</v>
      </c>
      <c r="C285" s="38" t="s">
        <v>473</v>
      </c>
      <c r="D285" s="37" t="s">
        <v>12</v>
      </c>
      <c r="E285" s="41">
        <v>36229</v>
      </c>
      <c r="F285" s="39">
        <v>0</v>
      </c>
      <c r="G285" s="12"/>
      <c r="H285" s="12">
        <f t="shared" si="13"/>
        <v>0</v>
      </c>
      <c r="I285" s="12">
        <f t="shared" si="14"/>
        <v>0</v>
      </c>
      <c r="J285" s="12">
        <f t="shared" si="15"/>
        <v>0</v>
      </c>
      <c r="K285" s="14"/>
    </row>
    <row r="286" spans="1:11" ht="14.5" x14ac:dyDescent="0.3">
      <c r="A286" s="37">
        <v>278</v>
      </c>
      <c r="B286" s="37" t="s">
        <v>475</v>
      </c>
      <c r="C286" s="38" t="s">
        <v>473</v>
      </c>
      <c r="D286" s="37" t="s">
        <v>12</v>
      </c>
      <c r="E286" s="39">
        <v>0</v>
      </c>
      <c r="F286" s="39">
        <v>72685</v>
      </c>
      <c r="G286" s="12"/>
      <c r="H286" s="12">
        <f t="shared" si="13"/>
        <v>0</v>
      </c>
      <c r="I286" s="12">
        <f t="shared" si="14"/>
        <v>0</v>
      </c>
      <c r="J286" s="12">
        <f t="shared" si="15"/>
        <v>0</v>
      </c>
      <c r="K286" s="14"/>
    </row>
    <row r="287" spans="1:11" ht="14.5" x14ac:dyDescent="0.3">
      <c r="A287" s="37">
        <v>279</v>
      </c>
      <c r="B287" s="40" t="s">
        <v>477</v>
      </c>
      <c r="C287" s="38" t="s">
        <v>476</v>
      </c>
      <c r="D287" s="37" t="s">
        <v>22</v>
      </c>
      <c r="E287" s="39">
        <v>1061775</v>
      </c>
      <c r="F287" s="41">
        <v>0</v>
      </c>
      <c r="G287" s="12"/>
      <c r="H287" s="12">
        <f t="shared" si="13"/>
        <v>0</v>
      </c>
      <c r="I287" s="12">
        <f t="shared" si="14"/>
        <v>0</v>
      </c>
      <c r="J287" s="12">
        <f t="shared" si="15"/>
        <v>0</v>
      </c>
      <c r="K287" s="14"/>
    </row>
    <row r="288" spans="1:11" ht="14.5" x14ac:dyDescent="0.3">
      <c r="A288" s="37">
        <v>280</v>
      </c>
      <c r="B288" s="40" t="s">
        <v>478</v>
      </c>
      <c r="C288" s="38" t="s">
        <v>476</v>
      </c>
      <c r="D288" s="37" t="s">
        <v>22</v>
      </c>
      <c r="E288" s="41">
        <v>0</v>
      </c>
      <c r="F288" s="39">
        <v>654166</v>
      </c>
      <c r="G288" s="12"/>
      <c r="H288" s="12">
        <f t="shared" si="13"/>
        <v>0</v>
      </c>
      <c r="I288" s="12">
        <f t="shared" si="14"/>
        <v>0</v>
      </c>
      <c r="J288" s="12">
        <f t="shared" si="15"/>
        <v>0</v>
      </c>
      <c r="K288" s="14"/>
    </row>
    <row r="289" spans="1:11" ht="29" x14ac:dyDescent="0.3">
      <c r="A289" s="37">
        <v>281</v>
      </c>
      <c r="B289" s="37" t="s">
        <v>354</v>
      </c>
      <c r="C289" s="38" t="s">
        <v>353</v>
      </c>
      <c r="D289" s="37" t="s">
        <v>12</v>
      </c>
      <c r="E289" s="39">
        <v>300012</v>
      </c>
      <c r="F289" s="39">
        <v>0</v>
      </c>
      <c r="G289" s="12"/>
      <c r="H289" s="12">
        <f t="shared" si="13"/>
        <v>0</v>
      </c>
      <c r="I289" s="12">
        <f t="shared" si="14"/>
        <v>0</v>
      </c>
      <c r="J289" s="12">
        <f t="shared" si="15"/>
        <v>0</v>
      </c>
      <c r="K289" s="14"/>
    </row>
    <row r="290" spans="1:11" ht="29" x14ac:dyDescent="0.3">
      <c r="A290" s="37">
        <v>282</v>
      </c>
      <c r="B290" s="40" t="s">
        <v>355</v>
      </c>
      <c r="C290" s="38" t="s">
        <v>353</v>
      </c>
      <c r="D290" s="37" t="s">
        <v>12</v>
      </c>
      <c r="E290" s="39">
        <v>0</v>
      </c>
      <c r="F290" s="41">
        <v>54514</v>
      </c>
      <c r="G290" s="12"/>
      <c r="H290" s="12">
        <f t="shared" si="13"/>
        <v>0</v>
      </c>
      <c r="I290" s="12">
        <f t="shared" si="14"/>
        <v>0</v>
      </c>
      <c r="J290" s="12">
        <f t="shared" si="15"/>
        <v>0</v>
      </c>
      <c r="K290" s="14"/>
    </row>
    <row r="291" spans="1:11" ht="29" x14ac:dyDescent="0.3">
      <c r="A291" s="37">
        <v>283</v>
      </c>
      <c r="B291" s="40" t="s">
        <v>357</v>
      </c>
      <c r="C291" s="38" t="s">
        <v>356</v>
      </c>
      <c r="D291" s="37" t="s">
        <v>12</v>
      </c>
      <c r="E291" s="41">
        <v>620246</v>
      </c>
      <c r="F291" s="39">
        <v>0</v>
      </c>
      <c r="G291" s="12"/>
      <c r="H291" s="12">
        <f t="shared" si="13"/>
        <v>0</v>
      </c>
      <c r="I291" s="12">
        <f t="shared" si="14"/>
        <v>0</v>
      </c>
      <c r="J291" s="12">
        <f t="shared" si="15"/>
        <v>0</v>
      </c>
      <c r="K291" s="14"/>
    </row>
    <row r="292" spans="1:11" ht="29" x14ac:dyDescent="0.3">
      <c r="A292" s="37">
        <v>284</v>
      </c>
      <c r="B292" s="37" t="s">
        <v>358</v>
      </c>
      <c r="C292" s="38" t="s">
        <v>356</v>
      </c>
      <c r="D292" s="37" t="s">
        <v>12</v>
      </c>
      <c r="E292" s="39">
        <v>0</v>
      </c>
      <c r="F292" s="39">
        <v>72685</v>
      </c>
      <c r="G292" s="12"/>
      <c r="H292" s="12">
        <f t="shared" si="13"/>
        <v>0</v>
      </c>
      <c r="I292" s="12">
        <f t="shared" si="14"/>
        <v>0</v>
      </c>
      <c r="J292" s="12">
        <f t="shared" si="15"/>
        <v>0</v>
      </c>
      <c r="K292" s="14"/>
    </row>
    <row r="293" spans="1:11" ht="29" x14ac:dyDescent="0.3">
      <c r="A293" s="37">
        <v>285</v>
      </c>
      <c r="B293" s="40" t="s">
        <v>360</v>
      </c>
      <c r="C293" s="38" t="s">
        <v>359</v>
      </c>
      <c r="D293" s="37" t="s">
        <v>12</v>
      </c>
      <c r="E293" s="39">
        <v>930368</v>
      </c>
      <c r="F293" s="41">
        <v>0</v>
      </c>
      <c r="G293" s="12"/>
      <c r="H293" s="12">
        <f t="shared" si="13"/>
        <v>0</v>
      </c>
      <c r="I293" s="12">
        <f t="shared" si="14"/>
        <v>0</v>
      </c>
      <c r="J293" s="12">
        <f t="shared" si="15"/>
        <v>0</v>
      </c>
      <c r="K293" s="14"/>
    </row>
    <row r="294" spans="1:11" ht="29" x14ac:dyDescent="0.3">
      <c r="A294" s="37">
        <v>286</v>
      </c>
      <c r="B294" s="40" t="s">
        <v>361</v>
      </c>
      <c r="C294" s="38" t="s">
        <v>359</v>
      </c>
      <c r="D294" s="37" t="s">
        <v>12</v>
      </c>
      <c r="E294" s="41">
        <v>0</v>
      </c>
      <c r="F294" s="39">
        <v>109027</v>
      </c>
      <c r="G294" s="12"/>
      <c r="H294" s="12">
        <f t="shared" si="13"/>
        <v>0</v>
      </c>
      <c r="I294" s="12">
        <f t="shared" si="14"/>
        <v>0</v>
      </c>
      <c r="J294" s="12">
        <f t="shared" si="15"/>
        <v>0</v>
      </c>
      <c r="K294" s="14"/>
    </row>
    <row r="295" spans="1:11" ht="29" x14ac:dyDescent="0.3">
      <c r="A295" s="37">
        <v>287</v>
      </c>
      <c r="B295" s="37" t="s">
        <v>363</v>
      </c>
      <c r="C295" s="38" t="s">
        <v>362</v>
      </c>
      <c r="D295" s="37" t="s">
        <v>12</v>
      </c>
      <c r="E295" s="39">
        <v>57083</v>
      </c>
      <c r="F295" s="39">
        <v>0</v>
      </c>
      <c r="G295" s="12"/>
      <c r="H295" s="12">
        <f t="shared" si="13"/>
        <v>0</v>
      </c>
      <c r="I295" s="12">
        <f t="shared" si="14"/>
        <v>0</v>
      </c>
      <c r="J295" s="12">
        <f t="shared" si="15"/>
        <v>0</v>
      </c>
      <c r="K295" s="14"/>
    </row>
    <row r="296" spans="1:11" ht="29" x14ac:dyDescent="0.3">
      <c r="A296" s="37">
        <v>288</v>
      </c>
      <c r="B296" s="40" t="s">
        <v>364</v>
      </c>
      <c r="C296" s="38" t="s">
        <v>362</v>
      </c>
      <c r="D296" s="37" t="s">
        <v>12</v>
      </c>
      <c r="E296" s="39">
        <v>0</v>
      </c>
      <c r="F296" s="41">
        <v>54514</v>
      </c>
      <c r="G296" s="12"/>
      <c r="H296" s="12">
        <f t="shared" si="13"/>
        <v>0</v>
      </c>
      <c r="I296" s="12">
        <f t="shared" si="14"/>
        <v>0</v>
      </c>
      <c r="J296" s="12">
        <f t="shared" si="15"/>
        <v>0</v>
      </c>
      <c r="K296" s="14"/>
    </row>
    <row r="297" spans="1:11" ht="29" x14ac:dyDescent="0.3">
      <c r="A297" s="37">
        <v>289</v>
      </c>
      <c r="B297" s="40" t="s">
        <v>366</v>
      </c>
      <c r="C297" s="38" t="s">
        <v>365</v>
      </c>
      <c r="D297" s="37" t="s">
        <v>12</v>
      </c>
      <c r="E297" s="41">
        <v>118012</v>
      </c>
      <c r="F297" s="39">
        <v>0</v>
      </c>
      <c r="G297" s="12"/>
      <c r="H297" s="12">
        <f t="shared" si="13"/>
        <v>0</v>
      </c>
      <c r="I297" s="12">
        <f t="shared" si="14"/>
        <v>0</v>
      </c>
      <c r="J297" s="12">
        <f t="shared" si="15"/>
        <v>0</v>
      </c>
      <c r="K297" s="14"/>
    </row>
    <row r="298" spans="1:11" ht="29" x14ac:dyDescent="0.3">
      <c r="A298" s="37">
        <v>290</v>
      </c>
      <c r="B298" s="37" t="s">
        <v>367</v>
      </c>
      <c r="C298" s="38" t="s">
        <v>365</v>
      </c>
      <c r="D298" s="37" t="s">
        <v>12</v>
      </c>
      <c r="E298" s="39">
        <v>0</v>
      </c>
      <c r="F298" s="39">
        <v>72796</v>
      </c>
      <c r="G298" s="12"/>
      <c r="H298" s="12">
        <f t="shared" si="13"/>
        <v>0</v>
      </c>
      <c r="I298" s="12">
        <f t="shared" si="14"/>
        <v>0</v>
      </c>
      <c r="J298" s="12">
        <f t="shared" si="15"/>
        <v>0</v>
      </c>
      <c r="K298" s="14"/>
    </row>
    <row r="299" spans="1:11" ht="29" x14ac:dyDescent="0.3">
      <c r="A299" s="37">
        <v>291</v>
      </c>
      <c r="B299" s="40" t="s">
        <v>369</v>
      </c>
      <c r="C299" s="38" t="s">
        <v>368</v>
      </c>
      <c r="D299" s="37" t="s">
        <v>12</v>
      </c>
      <c r="E299" s="39">
        <v>57055</v>
      </c>
      <c r="F299" s="41">
        <v>0</v>
      </c>
      <c r="G299" s="12"/>
      <c r="H299" s="12">
        <f t="shared" si="13"/>
        <v>0</v>
      </c>
      <c r="I299" s="12">
        <f t="shared" si="14"/>
        <v>0</v>
      </c>
      <c r="J299" s="12">
        <f t="shared" si="15"/>
        <v>0</v>
      </c>
      <c r="K299" s="14"/>
    </row>
    <row r="300" spans="1:11" ht="29" x14ac:dyDescent="0.3">
      <c r="A300" s="37">
        <v>292</v>
      </c>
      <c r="B300" s="40" t="s">
        <v>370</v>
      </c>
      <c r="C300" s="38" t="s">
        <v>368</v>
      </c>
      <c r="D300" s="37" t="s">
        <v>12</v>
      </c>
      <c r="E300" s="41">
        <v>0</v>
      </c>
      <c r="F300" s="39">
        <v>54514</v>
      </c>
      <c r="G300" s="12"/>
      <c r="H300" s="12">
        <f t="shared" si="13"/>
        <v>0</v>
      </c>
      <c r="I300" s="12">
        <f t="shared" si="14"/>
        <v>0</v>
      </c>
      <c r="J300" s="12">
        <f t="shared" si="15"/>
        <v>0</v>
      </c>
      <c r="K300" s="14"/>
    </row>
    <row r="301" spans="1:11" ht="29" x14ac:dyDescent="0.3">
      <c r="A301" s="37">
        <v>293</v>
      </c>
      <c r="B301" s="37" t="s">
        <v>372</v>
      </c>
      <c r="C301" s="38" t="s">
        <v>371</v>
      </c>
      <c r="D301" s="37" t="s">
        <v>12</v>
      </c>
      <c r="E301" s="39">
        <v>114741</v>
      </c>
      <c r="F301" s="39">
        <v>0</v>
      </c>
      <c r="G301" s="12"/>
      <c r="H301" s="12">
        <f t="shared" si="13"/>
        <v>0</v>
      </c>
      <c r="I301" s="12">
        <f t="shared" si="14"/>
        <v>0</v>
      </c>
      <c r="J301" s="12">
        <f t="shared" si="15"/>
        <v>0</v>
      </c>
      <c r="K301" s="14"/>
    </row>
    <row r="302" spans="1:11" ht="29" x14ac:dyDescent="0.3">
      <c r="A302" s="37">
        <v>294</v>
      </c>
      <c r="B302" s="40" t="s">
        <v>373</v>
      </c>
      <c r="C302" s="38" t="s">
        <v>371</v>
      </c>
      <c r="D302" s="37" t="s">
        <v>12</v>
      </c>
      <c r="E302" s="39">
        <v>0</v>
      </c>
      <c r="F302" s="41">
        <v>72685</v>
      </c>
      <c r="G302" s="12"/>
      <c r="H302" s="12">
        <f t="shared" si="13"/>
        <v>0</v>
      </c>
      <c r="I302" s="12">
        <f t="shared" si="14"/>
        <v>0</v>
      </c>
      <c r="J302" s="12">
        <f t="shared" si="15"/>
        <v>0</v>
      </c>
      <c r="K302" s="14"/>
    </row>
    <row r="303" spans="1:11" ht="29" x14ac:dyDescent="0.3">
      <c r="A303" s="37">
        <v>295</v>
      </c>
      <c r="B303" s="40" t="s">
        <v>1095</v>
      </c>
      <c r="C303" s="38" t="s">
        <v>1094</v>
      </c>
      <c r="D303" s="37" t="s">
        <v>101</v>
      </c>
      <c r="E303" s="41">
        <v>0</v>
      </c>
      <c r="F303" s="39">
        <v>12400</v>
      </c>
      <c r="G303" s="12"/>
      <c r="H303" s="12">
        <f t="shared" si="13"/>
        <v>0</v>
      </c>
      <c r="I303" s="12">
        <f t="shared" si="14"/>
        <v>0</v>
      </c>
      <c r="J303" s="12">
        <f t="shared" si="15"/>
        <v>0</v>
      </c>
      <c r="K303" s="14"/>
    </row>
    <row r="304" spans="1:11" ht="29" x14ac:dyDescent="0.3">
      <c r="A304" s="37">
        <v>296</v>
      </c>
      <c r="B304" s="37" t="s">
        <v>1088</v>
      </c>
      <c r="C304" s="38" t="s">
        <v>1086</v>
      </c>
      <c r="D304" s="37" t="s">
        <v>1087</v>
      </c>
      <c r="E304" s="39">
        <v>0</v>
      </c>
      <c r="F304" s="39">
        <v>3100000</v>
      </c>
      <c r="G304" s="12"/>
      <c r="H304" s="12">
        <f t="shared" si="13"/>
        <v>0</v>
      </c>
      <c r="I304" s="12">
        <f t="shared" si="14"/>
        <v>0</v>
      </c>
      <c r="J304" s="12">
        <f t="shared" si="15"/>
        <v>0</v>
      </c>
      <c r="K304" s="14"/>
    </row>
    <row r="305" spans="1:11" ht="14.5" x14ac:dyDescent="0.3">
      <c r="A305" s="37">
        <v>297</v>
      </c>
      <c r="B305" s="40" t="s">
        <v>972</v>
      </c>
      <c r="C305" s="38" t="s">
        <v>971</v>
      </c>
      <c r="D305" s="37" t="s">
        <v>911</v>
      </c>
      <c r="E305" s="39">
        <v>0</v>
      </c>
      <c r="F305" s="41">
        <v>10560</v>
      </c>
      <c r="G305" s="12"/>
      <c r="H305" s="12">
        <f t="shared" si="13"/>
        <v>0</v>
      </c>
      <c r="I305" s="12">
        <f t="shared" si="14"/>
        <v>0</v>
      </c>
      <c r="J305" s="12">
        <f t="shared" si="15"/>
        <v>0</v>
      </c>
      <c r="K305" s="14"/>
    </row>
    <row r="306" spans="1:11" ht="14.5" x14ac:dyDescent="0.3">
      <c r="A306" s="37">
        <v>298</v>
      </c>
      <c r="B306" s="40" t="s">
        <v>974</v>
      </c>
      <c r="C306" s="38" t="s">
        <v>973</v>
      </c>
      <c r="D306" s="37" t="s">
        <v>740</v>
      </c>
      <c r="E306" s="41">
        <v>0</v>
      </c>
      <c r="F306" s="39">
        <v>36470</v>
      </c>
      <c r="G306" s="12"/>
      <c r="H306" s="12">
        <f t="shared" si="13"/>
        <v>0</v>
      </c>
      <c r="I306" s="12">
        <f t="shared" si="14"/>
        <v>0</v>
      </c>
      <c r="J306" s="12">
        <f t="shared" si="15"/>
        <v>0</v>
      </c>
      <c r="K306" s="14"/>
    </row>
    <row r="307" spans="1:11" ht="14.5" x14ac:dyDescent="0.3">
      <c r="A307" s="37">
        <v>299</v>
      </c>
      <c r="B307" s="37" t="s">
        <v>978</v>
      </c>
      <c r="C307" s="38" t="s">
        <v>977</v>
      </c>
      <c r="D307" s="37" t="s">
        <v>740</v>
      </c>
      <c r="E307" s="39">
        <v>0</v>
      </c>
      <c r="F307" s="39">
        <v>12400</v>
      </c>
      <c r="G307" s="12"/>
      <c r="H307" s="12">
        <f t="shared" si="13"/>
        <v>0</v>
      </c>
      <c r="I307" s="12">
        <f t="shared" si="14"/>
        <v>0</v>
      </c>
      <c r="J307" s="12">
        <f t="shared" si="15"/>
        <v>0</v>
      </c>
      <c r="K307" s="14"/>
    </row>
    <row r="308" spans="1:11" ht="14.5" x14ac:dyDescent="0.3">
      <c r="A308" s="37">
        <v>300</v>
      </c>
      <c r="B308" s="40" t="s">
        <v>976</v>
      </c>
      <c r="C308" s="38" t="s">
        <v>975</v>
      </c>
      <c r="D308" s="37" t="s">
        <v>911</v>
      </c>
      <c r="E308" s="39">
        <v>0</v>
      </c>
      <c r="F308" s="41">
        <v>5010</v>
      </c>
      <c r="G308" s="12"/>
      <c r="H308" s="12">
        <f t="shared" si="13"/>
        <v>0</v>
      </c>
      <c r="I308" s="12">
        <f t="shared" si="14"/>
        <v>0</v>
      </c>
      <c r="J308" s="12">
        <f t="shared" si="15"/>
        <v>0</v>
      </c>
      <c r="K308" s="14"/>
    </row>
    <row r="309" spans="1:11" ht="14.5" x14ac:dyDescent="0.3">
      <c r="A309" s="37">
        <v>301</v>
      </c>
      <c r="B309" s="40" t="s">
        <v>980</v>
      </c>
      <c r="C309" s="38" t="s">
        <v>979</v>
      </c>
      <c r="D309" s="37" t="s">
        <v>740</v>
      </c>
      <c r="E309" s="41">
        <v>0</v>
      </c>
      <c r="F309" s="39">
        <v>31000</v>
      </c>
      <c r="G309" s="12"/>
      <c r="H309" s="12">
        <f t="shared" si="13"/>
        <v>0</v>
      </c>
      <c r="I309" s="12">
        <f t="shared" si="14"/>
        <v>0</v>
      </c>
      <c r="J309" s="12">
        <f t="shared" si="15"/>
        <v>0</v>
      </c>
      <c r="K309" s="14"/>
    </row>
    <row r="310" spans="1:11" ht="14.5" x14ac:dyDescent="0.3">
      <c r="A310" s="37">
        <v>302</v>
      </c>
      <c r="B310" s="37" t="s">
        <v>982</v>
      </c>
      <c r="C310" s="38" t="s">
        <v>981</v>
      </c>
      <c r="D310" s="37" t="s">
        <v>91</v>
      </c>
      <c r="E310" s="39">
        <v>0</v>
      </c>
      <c r="F310" s="39">
        <v>17240</v>
      </c>
      <c r="G310" s="12"/>
      <c r="H310" s="12">
        <f t="shared" si="13"/>
        <v>0</v>
      </c>
      <c r="I310" s="12">
        <f t="shared" si="14"/>
        <v>0</v>
      </c>
      <c r="J310" s="12">
        <f t="shared" si="15"/>
        <v>0</v>
      </c>
      <c r="K310" s="14"/>
    </row>
    <row r="311" spans="1:11" ht="14.5" x14ac:dyDescent="0.3">
      <c r="A311" s="37">
        <v>303</v>
      </c>
      <c r="B311" s="40" t="s">
        <v>984</v>
      </c>
      <c r="C311" s="38" t="s">
        <v>983</v>
      </c>
      <c r="D311" s="37" t="s">
        <v>740</v>
      </c>
      <c r="E311" s="39">
        <v>0</v>
      </c>
      <c r="F311" s="41">
        <v>9680</v>
      </c>
      <c r="G311" s="12"/>
      <c r="H311" s="12">
        <f t="shared" si="13"/>
        <v>0</v>
      </c>
      <c r="I311" s="12">
        <f t="shared" si="14"/>
        <v>0</v>
      </c>
      <c r="J311" s="12">
        <f t="shared" si="15"/>
        <v>0</v>
      </c>
      <c r="K311" s="14"/>
    </row>
    <row r="312" spans="1:11" ht="14.5" x14ac:dyDescent="0.3">
      <c r="A312" s="37">
        <v>304</v>
      </c>
      <c r="B312" s="40" t="s">
        <v>951</v>
      </c>
      <c r="C312" s="38" t="s">
        <v>950</v>
      </c>
      <c r="D312" s="37" t="s">
        <v>740</v>
      </c>
      <c r="E312" s="41">
        <v>8590</v>
      </c>
      <c r="F312" s="39">
        <v>0</v>
      </c>
      <c r="G312" s="12"/>
      <c r="H312" s="12">
        <f t="shared" si="13"/>
        <v>0</v>
      </c>
      <c r="I312" s="12">
        <f t="shared" si="14"/>
        <v>0</v>
      </c>
      <c r="J312" s="12">
        <f t="shared" si="15"/>
        <v>0</v>
      </c>
      <c r="K312" s="14"/>
    </row>
    <row r="313" spans="1:11" ht="14.5" x14ac:dyDescent="0.3">
      <c r="A313" s="37">
        <v>305</v>
      </c>
      <c r="B313" s="37" t="s">
        <v>952</v>
      </c>
      <c r="C313" s="38" t="s">
        <v>950</v>
      </c>
      <c r="D313" s="37" t="s">
        <v>740</v>
      </c>
      <c r="E313" s="39">
        <v>0</v>
      </c>
      <c r="F313" s="39">
        <v>1660</v>
      </c>
      <c r="G313" s="12"/>
      <c r="H313" s="12">
        <f t="shared" si="13"/>
        <v>0</v>
      </c>
      <c r="I313" s="12">
        <f t="shared" si="14"/>
        <v>0</v>
      </c>
      <c r="J313" s="12">
        <f t="shared" si="15"/>
        <v>0</v>
      </c>
      <c r="K313" s="14"/>
    </row>
    <row r="314" spans="1:11" ht="14.5" x14ac:dyDescent="0.3">
      <c r="A314" s="37">
        <v>306</v>
      </c>
      <c r="B314" s="40" t="s">
        <v>790</v>
      </c>
      <c r="C314" s="38" t="s">
        <v>789</v>
      </c>
      <c r="D314" s="37" t="s">
        <v>740</v>
      </c>
      <c r="E314" s="39">
        <v>2940</v>
      </c>
      <c r="F314" s="41">
        <v>0</v>
      </c>
      <c r="G314" s="12"/>
      <c r="H314" s="12">
        <f t="shared" si="13"/>
        <v>0</v>
      </c>
      <c r="I314" s="12">
        <f t="shared" si="14"/>
        <v>0</v>
      </c>
      <c r="J314" s="12">
        <f t="shared" si="15"/>
        <v>0</v>
      </c>
      <c r="K314" s="14"/>
    </row>
    <row r="315" spans="1:11" ht="14.5" x14ac:dyDescent="0.3">
      <c r="A315" s="37">
        <v>307</v>
      </c>
      <c r="B315" s="40" t="s">
        <v>791</v>
      </c>
      <c r="C315" s="38" t="s">
        <v>789</v>
      </c>
      <c r="D315" s="37" t="s">
        <v>740</v>
      </c>
      <c r="E315" s="41">
        <v>0</v>
      </c>
      <c r="F315" s="39">
        <v>650</v>
      </c>
      <c r="G315" s="12"/>
      <c r="H315" s="12">
        <f t="shared" si="13"/>
        <v>0</v>
      </c>
      <c r="I315" s="12">
        <f t="shared" si="14"/>
        <v>0</v>
      </c>
      <c r="J315" s="12">
        <f t="shared" si="15"/>
        <v>0</v>
      </c>
      <c r="K315" s="14"/>
    </row>
    <row r="316" spans="1:11" ht="29" x14ac:dyDescent="0.3">
      <c r="A316" s="37">
        <v>308</v>
      </c>
      <c r="B316" s="37" t="s">
        <v>1090</v>
      </c>
      <c r="C316" s="38" t="s">
        <v>1089</v>
      </c>
      <c r="D316" s="37" t="s">
        <v>75</v>
      </c>
      <c r="E316" s="39">
        <v>0</v>
      </c>
      <c r="F316" s="39">
        <v>89000</v>
      </c>
      <c r="G316" s="12"/>
      <c r="H316" s="12">
        <f t="shared" si="13"/>
        <v>0</v>
      </c>
      <c r="I316" s="12">
        <f t="shared" si="14"/>
        <v>0</v>
      </c>
      <c r="J316" s="12">
        <f t="shared" si="15"/>
        <v>0</v>
      </c>
      <c r="K316" s="14"/>
    </row>
    <row r="317" spans="1:11" ht="29" x14ac:dyDescent="0.3">
      <c r="A317" s="37">
        <v>309</v>
      </c>
      <c r="B317" s="40" t="s">
        <v>628</v>
      </c>
      <c r="C317" s="38" t="s">
        <v>73</v>
      </c>
      <c r="D317" s="37" t="s">
        <v>13</v>
      </c>
      <c r="E317" s="39">
        <v>45483</v>
      </c>
      <c r="F317" s="41">
        <v>0</v>
      </c>
      <c r="G317" s="12"/>
      <c r="H317" s="12">
        <f t="shared" si="13"/>
        <v>0</v>
      </c>
      <c r="I317" s="12">
        <f t="shared" si="14"/>
        <v>0</v>
      </c>
      <c r="J317" s="12">
        <f t="shared" si="15"/>
        <v>0</v>
      </c>
      <c r="K317" s="14"/>
    </row>
    <row r="318" spans="1:11" ht="29" x14ac:dyDescent="0.3">
      <c r="A318" s="37">
        <v>310</v>
      </c>
      <c r="B318" s="40" t="s">
        <v>629</v>
      </c>
      <c r="C318" s="38" t="s">
        <v>73</v>
      </c>
      <c r="D318" s="37" t="s">
        <v>13</v>
      </c>
      <c r="E318" s="41">
        <v>0</v>
      </c>
      <c r="F318" s="39">
        <v>54833</v>
      </c>
      <c r="G318" s="12"/>
      <c r="H318" s="12">
        <f t="shared" si="13"/>
        <v>0</v>
      </c>
      <c r="I318" s="12">
        <f t="shared" si="14"/>
        <v>0</v>
      </c>
      <c r="J318" s="12">
        <f t="shared" si="15"/>
        <v>0</v>
      </c>
      <c r="K318" s="14"/>
    </row>
    <row r="319" spans="1:11" ht="14.5" x14ac:dyDescent="0.3">
      <c r="A319" s="37">
        <v>311</v>
      </c>
      <c r="B319" s="37" t="s">
        <v>597</v>
      </c>
      <c r="C319" s="38" t="s">
        <v>62</v>
      </c>
      <c r="D319" s="37" t="s">
        <v>12</v>
      </c>
      <c r="E319" s="39">
        <v>20674</v>
      </c>
      <c r="F319" s="39">
        <v>0</v>
      </c>
      <c r="G319" s="12"/>
      <c r="H319" s="12">
        <f t="shared" si="13"/>
        <v>0</v>
      </c>
      <c r="I319" s="12">
        <f t="shared" si="14"/>
        <v>0</v>
      </c>
      <c r="J319" s="12">
        <f t="shared" si="15"/>
        <v>0</v>
      </c>
      <c r="K319" s="14"/>
    </row>
    <row r="320" spans="1:11" ht="14.5" x14ac:dyDescent="0.3">
      <c r="A320" s="37">
        <v>312</v>
      </c>
      <c r="B320" s="40" t="s">
        <v>598</v>
      </c>
      <c r="C320" s="38" t="s">
        <v>62</v>
      </c>
      <c r="D320" s="37" t="s">
        <v>12</v>
      </c>
      <c r="E320" s="39">
        <v>0</v>
      </c>
      <c r="F320" s="41">
        <v>1815</v>
      </c>
      <c r="G320" s="12"/>
      <c r="H320" s="12">
        <f t="shared" si="13"/>
        <v>0</v>
      </c>
      <c r="I320" s="12">
        <f t="shared" si="14"/>
        <v>0</v>
      </c>
      <c r="J320" s="12">
        <f t="shared" si="15"/>
        <v>0</v>
      </c>
      <c r="K320" s="14"/>
    </row>
    <row r="321" spans="1:11" ht="14.5" x14ac:dyDescent="0.3">
      <c r="A321" s="37">
        <v>313</v>
      </c>
      <c r="B321" s="40" t="s">
        <v>599</v>
      </c>
      <c r="C321" s="38" t="s">
        <v>63</v>
      </c>
      <c r="D321" s="37" t="s">
        <v>12</v>
      </c>
      <c r="E321" s="41">
        <v>37213</v>
      </c>
      <c r="F321" s="39">
        <v>0</v>
      </c>
      <c r="G321" s="12"/>
      <c r="H321" s="12">
        <f t="shared" si="13"/>
        <v>0</v>
      </c>
      <c r="I321" s="12">
        <f t="shared" si="14"/>
        <v>0</v>
      </c>
      <c r="J321" s="12">
        <f t="shared" si="15"/>
        <v>0</v>
      </c>
      <c r="K321" s="14"/>
    </row>
    <row r="322" spans="1:11" ht="14.5" x14ac:dyDescent="0.3">
      <c r="A322" s="37">
        <v>314</v>
      </c>
      <c r="B322" s="37" t="s">
        <v>600</v>
      </c>
      <c r="C322" s="38" t="s">
        <v>63</v>
      </c>
      <c r="D322" s="37" t="s">
        <v>12</v>
      </c>
      <c r="E322" s="39">
        <v>0</v>
      </c>
      <c r="F322" s="39">
        <v>1815</v>
      </c>
      <c r="G322" s="12"/>
      <c r="H322" s="12">
        <f t="shared" si="13"/>
        <v>0</v>
      </c>
      <c r="I322" s="12">
        <f t="shared" si="14"/>
        <v>0</v>
      </c>
      <c r="J322" s="12">
        <f t="shared" si="15"/>
        <v>0</v>
      </c>
      <c r="K322" s="14"/>
    </row>
    <row r="323" spans="1:11" ht="14.5" x14ac:dyDescent="0.3">
      <c r="A323" s="37">
        <v>315</v>
      </c>
      <c r="B323" s="40" t="s">
        <v>601</v>
      </c>
      <c r="C323" s="38" t="s">
        <v>64</v>
      </c>
      <c r="D323" s="37" t="s">
        <v>12</v>
      </c>
      <c r="E323" s="39">
        <v>59955</v>
      </c>
      <c r="F323" s="41">
        <v>0</v>
      </c>
      <c r="G323" s="12"/>
      <c r="H323" s="12">
        <f t="shared" si="13"/>
        <v>0</v>
      </c>
      <c r="I323" s="12">
        <f t="shared" si="14"/>
        <v>0</v>
      </c>
      <c r="J323" s="12">
        <f t="shared" si="15"/>
        <v>0</v>
      </c>
      <c r="K323" s="14"/>
    </row>
    <row r="324" spans="1:11" ht="14.5" x14ac:dyDescent="0.3">
      <c r="A324" s="37">
        <v>316</v>
      </c>
      <c r="B324" s="40" t="s">
        <v>602</v>
      </c>
      <c r="C324" s="38" t="s">
        <v>64</v>
      </c>
      <c r="D324" s="37" t="s">
        <v>12</v>
      </c>
      <c r="E324" s="41">
        <v>0</v>
      </c>
      <c r="F324" s="39">
        <v>1815</v>
      </c>
      <c r="G324" s="12"/>
      <c r="H324" s="12">
        <f t="shared" si="13"/>
        <v>0</v>
      </c>
      <c r="I324" s="12">
        <f t="shared" si="14"/>
        <v>0</v>
      </c>
      <c r="J324" s="12">
        <f t="shared" si="15"/>
        <v>0</v>
      </c>
      <c r="K324" s="14"/>
    </row>
    <row r="325" spans="1:11" ht="14.5" x14ac:dyDescent="0.3">
      <c r="A325" s="37">
        <v>317</v>
      </c>
      <c r="B325" s="37" t="s">
        <v>1105</v>
      </c>
      <c r="C325" s="38" t="s">
        <v>1152</v>
      </c>
      <c r="D325" s="37" t="s">
        <v>12</v>
      </c>
      <c r="E325" s="39">
        <v>4811</v>
      </c>
      <c r="F325" s="39">
        <v>0</v>
      </c>
      <c r="G325" s="12"/>
      <c r="H325" s="12">
        <f t="shared" si="13"/>
        <v>0</v>
      </c>
      <c r="I325" s="12">
        <f t="shared" si="14"/>
        <v>0</v>
      </c>
      <c r="J325" s="12">
        <f t="shared" si="15"/>
        <v>0</v>
      </c>
      <c r="K325" s="14"/>
    </row>
    <row r="326" spans="1:11" ht="14.5" x14ac:dyDescent="0.3">
      <c r="A326" s="37">
        <v>318</v>
      </c>
      <c r="B326" s="40" t="s">
        <v>1127</v>
      </c>
      <c r="C326" s="38" t="s">
        <v>1152</v>
      </c>
      <c r="D326" s="37" t="s">
        <v>12</v>
      </c>
      <c r="E326" s="39">
        <v>0</v>
      </c>
      <c r="F326" s="41">
        <v>985</v>
      </c>
      <c r="G326" s="12"/>
      <c r="H326" s="12">
        <f t="shared" si="13"/>
        <v>0</v>
      </c>
      <c r="I326" s="12">
        <f t="shared" si="14"/>
        <v>0</v>
      </c>
      <c r="J326" s="12">
        <f t="shared" si="15"/>
        <v>0</v>
      </c>
      <c r="K326" s="14"/>
    </row>
    <row r="327" spans="1:11" ht="29" x14ac:dyDescent="0.3">
      <c r="A327" s="37">
        <v>319</v>
      </c>
      <c r="B327" s="40" t="s">
        <v>1106</v>
      </c>
      <c r="C327" s="38" t="s">
        <v>1153</v>
      </c>
      <c r="D327" s="37" t="s">
        <v>13</v>
      </c>
      <c r="E327" s="41">
        <v>303621</v>
      </c>
      <c r="F327" s="39">
        <v>0</v>
      </c>
      <c r="G327" s="12"/>
      <c r="H327" s="12">
        <f t="shared" si="13"/>
        <v>0</v>
      </c>
      <c r="I327" s="12">
        <f t="shared" si="14"/>
        <v>0</v>
      </c>
      <c r="J327" s="12">
        <f t="shared" si="15"/>
        <v>0</v>
      </c>
      <c r="K327" s="14"/>
    </row>
    <row r="328" spans="1:11" ht="29" x14ac:dyDescent="0.3">
      <c r="A328" s="37">
        <v>320</v>
      </c>
      <c r="B328" s="37" t="s">
        <v>1128</v>
      </c>
      <c r="C328" s="38" t="s">
        <v>1153</v>
      </c>
      <c r="D328" s="37" t="s">
        <v>13</v>
      </c>
      <c r="E328" s="39">
        <v>0</v>
      </c>
      <c r="F328" s="39">
        <v>375000</v>
      </c>
      <c r="G328" s="12"/>
      <c r="H328" s="12">
        <f t="shared" si="13"/>
        <v>0</v>
      </c>
      <c r="I328" s="12">
        <f t="shared" si="14"/>
        <v>0</v>
      </c>
      <c r="J328" s="12">
        <f t="shared" si="15"/>
        <v>0</v>
      </c>
      <c r="K328" s="14"/>
    </row>
    <row r="329" spans="1:11" ht="14.5" x14ac:dyDescent="0.3">
      <c r="A329" s="37">
        <v>321</v>
      </c>
      <c r="B329" s="40" t="s">
        <v>998</v>
      </c>
      <c r="C329" s="38" t="s">
        <v>997</v>
      </c>
      <c r="D329" s="37" t="s">
        <v>15</v>
      </c>
      <c r="E329" s="39">
        <v>0</v>
      </c>
      <c r="F329" s="41">
        <v>14930</v>
      </c>
      <c r="G329" s="12"/>
      <c r="H329" s="12">
        <f t="shared" si="13"/>
        <v>0</v>
      </c>
      <c r="I329" s="12">
        <f t="shared" si="14"/>
        <v>0</v>
      </c>
      <c r="J329" s="12">
        <f t="shared" si="15"/>
        <v>0</v>
      </c>
      <c r="K329" s="14"/>
    </row>
    <row r="330" spans="1:11" ht="14.5" x14ac:dyDescent="0.3">
      <c r="A330" s="37">
        <v>322</v>
      </c>
      <c r="B330" s="40" t="s">
        <v>1107</v>
      </c>
      <c r="C330" s="38" t="s">
        <v>1154</v>
      </c>
      <c r="D330" s="37" t="s">
        <v>1155</v>
      </c>
      <c r="E330" s="41">
        <v>79800</v>
      </c>
      <c r="F330" s="39">
        <v>0</v>
      </c>
      <c r="G330" s="12"/>
      <c r="H330" s="12">
        <f t="shared" ref="H330:H393" si="16">E330*G330</f>
        <v>0</v>
      </c>
      <c r="I330" s="12">
        <f t="shared" ref="I330:I393" si="17">F330*G330</f>
        <v>0</v>
      </c>
      <c r="J330" s="12">
        <f t="shared" ref="J330:J393" si="18">SUM(H330:I330)</f>
        <v>0</v>
      </c>
      <c r="K330" s="14"/>
    </row>
    <row r="331" spans="1:11" ht="14.5" x14ac:dyDescent="0.3">
      <c r="A331" s="37">
        <v>323</v>
      </c>
      <c r="B331" s="37" t="s">
        <v>1129</v>
      </c>
      <c r="C331" s="38" t="s">
        <v>1154</v>
      </c>
      <c r="D331" s="37" t="s">
        <v>1155</v>
      </c>
      <c r="E331" s="39">
        <v>0</v>
      </c>
      <c r="F331" s="39">
        <v>8850</v>
      </c>
      <c r="G331" s="12"/>
      <c r="H331" s="12">
        <f t="shared" si="16"/>
        <v>0</v>
      </c>
      <c r="I331" s="12">
        <f t="shared" si="17"/>
        <v>0</v>
      </c>
      <c r="J331" s="12">
        <f t="shared" si="18"/>
        <v>0</v>
      </c>
      <c r="K331" s="14"/>
    </row>
    <row r="332" spans="1:11" ht="43.5" x14ac:dyDescent="0.3">
      <c r="A332" s="37">
        <v>324</v>
      </c>
      <c r="B332" s="40" t="s">
        <v>639</v>
      </c>
      <c r="C332" s="38" t="s">
        <v>78</v>
      </c>
      <c r="D332" s="37" t="s">
        <v>71</v>
      </c>
      <c r="E332" s="39">
        <v>12061050</v>
      </c>
      <c r="F332" s="41">
        <v>0</v>
      </c>
      <c r="G332" s="12"/>
      <c r="H332" s="12">
        <f t="shared" si="16"/>
        <v>0</v>
      </c>
      <c r="I332" s="12">
        <f t="shared" si="17"/>
        <v>0</v>
      </c>
      <c r="J332" s="12">
        <f t="shared" si="18"/>
        <v>0</v>
      </c>
      <c r="K332" s="14"/>
    </row>
    <row r="333" spans="1:11" ht="43.5" x14ac:dyDescent="0.3">
      <c r="A333" s="37">
        <v>325</v>
      </c>
      <c r="B333" s="40" t="s">
        <v>640</v>
      </c>
      <c r="C333" s="38" t="s">
        <v>78</v>
      </c>
      <c r="D333" s="37" t="s">
        <v>71</v>
      </c>
      <c r="E333" s="41">
        <v>0</v>
      </c>
      <c r="F333" s="39">
        <v>340000</v>
      </c>
      <c r="G333" s="12"/>
      <c r="H333" s="12">
        <f t="shared" si="16"/>
        <v>0</v>
      </c>
      <c r="I333" s="12">
        <f t="shared" si="17"/>
        <v>0</v>
      </c>
      <c r="J333" s="12">
        <f t="shared" si="18"/>
        <v>0</v>
      </c>
      <c r="K333" s="14"/>
    </row>
    <row r="334" spans="1:11" ht="14.5" x14ac:dyDescent="0.3">
      <c r="A334" s="37">
        <v>326</v>
      </c>
      <c r="B334" s="37" t="s">
        <v>1108</v>
      </c>
      <c r="C334" s="38" t="s">
        <v>1156</v>
      </c>
      <c r="D334" s="37" t="s">
        <v>82</v>
      </c>
      <c r="E334" s="39">
        <v>175000</v>
      </c>
      <c r="F334" s="39">
        <v>0</v>
      </c>
      <c r="G334" s="12"/>
      <c r="H334" s="12">
        <f t="shared" si="16"/>
        <v>0</v>
      </c>
      <c r="I334" s="12">
        <f t="shared" si="17"/>
        <v>0</v>
      </c>
      <c r="J334" s="12">
        <f t="shared" si="18"/>
        <v>0</v>
      </c>
      <c r="K334" s="14"/>
    </row>
    <row r="335" spans="1:11" ht="14.5" x14ac:dyDescent="0.3">
      <c r="A335" s="37">
        <v>327</v>
      </c>
      <c r="B335" s="40" t="s">
        <v>1130</v>
      </c>
      <c r="C335" s="38" t="s">
        <v>1156</v>
      </c>
      <c r="D335" s="37" t="s">
        <v>82</v>
      </c>
      <c r="E335" s="39">
        <v>0</v>
      </c>
      <c r="F335" s="41">
        <v>121000</v>
      </c>
      <c r="G335" s="12"/>
      <c r="H335" s="12">
        <f t="shared" si="16"/>
        <v>0</v>
      </c>
      <c r="I335" s="12">
        <f t="shared" si="17"/>
        <v>0</v>
      </c>
      <c r="J335" s="12">
        <f t="shared" si="18"/>
        <v>0</v>
      </c>
      <c r="K335" s="14"/>
    </row>
    <row r="336" spans="1:11" ht="14.5" x14ac:dyDescent="0.3">
      <c r="A336" s="37">
        <v>328</v>
      </c>
      <c r="B336" s="40" t="s">
        <v>1109</v>
      </c>
      <c r="C336" s="38" t="s">
        <v>1157</v>
      </c>
      <c r="D336" s="37" t="s">
        <v>1155</v>
      </c>
      <c r="E336" s="41">
        <v>379600</v>
      </c>
      <c r="F336" s="39">
        <v>0</v>
      </c>
      <c r="G336" s="12"/>
      <c r="H336" s="12">
        <f t="shared" si="16"/>
        <v>0</v>
      </c>
      <c r="I336" s="12">
        <f t="shared" si="17"/>
        <v>0</v>
      </c>
      <c r="J336" s="12">
        <f t="shared" si="18"/>
        <v>0</v>
      </c>
      <c r="K336" s="14"/>
    </row>
    <row r="337" spans="1:11" ht="14.5" x14ac:dyDescent="0.3">
      <c r="A337" s="37">
        <v>329</v>
      </c>
      <c r="B337" s="37" t="s">
        <v>1131</v>
      </c>
      <c r="C337" s="38" t="s">
        <v>1157</v>
      </c>
      <c r="D337" s="37" t="s">
        <v>1155</v>
      </c>
      <c r="E337" s="39">
        <v>0</v>
      </c>
      <c r="F337" s="39">
        <v>54448</v>
      </c>
      <c r="G337" s="12"/>
      <c r="H337" s="12">
        <f t="shared" si="16"/>
        <v>0</v>
      </c>
      <c r="I337" s="12">
        <f t="shared" si="17"/>
        <v>0</v>
      </c>
      <c r="J337" s="12">
        <f t="shared" si="18"/>
        <v>0</v>
      </c>
      <c r="K337" s="14"/>
    </row>
    <row r="338" spans="1:11" ht="14.5" x14ac:dyDescent="0.3">
      <c r="A338" s="37">
        <v>330</v>
      </c>
      <c r="B338" s="40" t="s">
        <v>992</v>
      </c>
      <c r="C338" s="38" t="s">
        <v>991</v>
      </c>
      <c r="D338" s="37" t="s">
        <v>25</v>
      </c>
      <c r="E338" s="39">
        <v>0</v>
      </c>
      <c r="F338" s="41">
        <v>36470</v>
      </c>
      <c r="G338" s="12"/>
      <c r="H338" s="12">
        <f t="shared" si="16"/>
        <v>0</v>
      </c>
      <c r="I338" s="12">
        <f t="shared" si="17"/>
        <v>0</v>
      </c>
      <c r="J338" s="12">
        <f t="shared" si="18"/>
        <v>0</v>
      </c>
      <c r="K338" s="14"/>
    </row>
    <row r="339" spans="1:11" ht="14.5" x14ac:dyDescent="0.3">
      <c r="A339" s="37">
        <v>331</v>
      </c>
      <c r="B339" s="40" t="s">
        <v>988</v>
      </c>
      <c r="C339" s="38" t="s">
        <v>986</v>
      </c>
      <c r="D339" s="37" t="s">
        <v>987</v>
      </c>
      <c r="E339" s="41">
        <v>0</v>
      </c>
      <c r="F339" s="39">
        <v>2270</v>
      </c>
      <c r="G339" s="12"/>
      <c r="H339" s="12">
        <f t="shared" si="16"/>
        <v>0</v>
      </c>
      <c r="I339" s="12">
        <f t="shared" si="17"/>
        <v>0</v>
      </c>
      <c r="J339" s="12">
        <f t="shared" si="18"/>
        <v>0</v>
      </c>
      <c r="K339" s="14"/>
    </row>
    <row r="340" spans="1:11" ht="14.5" x14ac:dyDescent="0.3">
      <c r="A340" s="37">
        <v>332</v>
      </c>
      <c r="B340" s="37" t="s">
        <v>1110</v>
      </c>
      <c r="C340" s="38" t="s">
        <v>1002</v>
      </c>
      <c r="D340" s="37" t="s">
        <v>13</v>
      </c>
      <c r="E340" s="39">
        <v>800</v>
      </c>
      <c r="F340" s="39">
        <v>0</v>
      </c>
      <c r="G340" s="12"/>
      <c r="H340" s="12">
        <f t="shared" si="16"/>
        <v>0</v>
      </c>
      <c r="I340" s="12">
        <f t="shared" si="17"/>
        <v>0</v>
      </c>
      <c r="J340" s="12">
        <f t="shared" si="18"/>
        <v>0</v>
      </c>
      <c r="K340" s="14"/>
    </row>
    <row r="341" spans="1:11" ht="14.5" x14ac:dyDescent="0.3">
      <c r="A341" s="37">
        <v>333</v>
      </c>
      <c r="B341" s="40" t="s">
        <v>1003</v>
      </c>
      <c r="C341" s="38" t="s">
        <v>1002</v>
      </c>
      <c r="D341" s="37" t="s">
        <v>13</v>
      </c>
      <c r="E341" s="39">
        <v>0</v>
      </c>
      <c r="F341" s="41">
        <v>1017</v>
      </c>
      <c r="G341" s="12"/>
      <c r="H341" s="12">
        <f t="shared" si="16"/>
        <v>0</v>
      </c>
      <c r="I341" s="12">
        <f t="shared" si="17"/>
        <v>0</v>
      </c>
      <c r="J341" s="12">
        <f t="shared" si="18"/>
        <v>0</v>
      </c>
      <c r="K341" s="14"/>
    </row>
    <row r="342" spans="1:11" ht="14.5" x14ac:dyDescent="0.3">
      <c r="A342" s="37">
        <v>334</v>
      </c>
      <c r="B342" s="40" t="s">
        <v>1111</v>
      </c>
      <c r="C342" s="38" t="s">
        <v>1158</v>
      </c>
      <c r="D342" s="37" t="s">
        <v>82</v>
      </c>
      <c r="E342" s="41">
        <v>65000</v>
      </c>
      <c r="F342" s="39">
        <v>0</v>
      </c>
      <c r="G342" s="12"/>
      <c r="H342" s="12">
        <f t="shared" si="16"/>
        <v>0</v>
      </c>
      <c r="I342" s="12">
        <f t="shared" si="17"/>
        <v>0</v>
      </c>
      <c r="J342" s="12">
        <f t="shared" si="18"/>
        <v>0</v>
      </c>
      <c r="K342" s="14"/>
    </row>
    <row r="343" spans="1:11" ht="14.5" x14ac:dyDescent="0.3">
      <c r="A343" s="37">
        <v>335</v>
      </c>
      <c r="B343" s="37" t="s">
        <v>1132</v>
      </c>
      <c r="C343" s="38" t="s">
        <v>1158</v>
      </c>
      <c r="D343" s="37" t="s">
        <v>82</v>
      </c>
      <c r="E343" s="39">
        <v>0</v>
      </c>
      <c r="F343" s="39">
        <v>119000</v>
      </c>
      <c r="G343" s="12"/>
      <c r="H343" s="12">
        <f t="shared" si="16"/>
        <v>0</v>
      </c>
      <c r="I343" s="12">
        <f t="shared" si="17"/>
        <v>0</v>
      </c>
      <c r="J343" s="12">
        <f t="shared" si="18"/>
        <v>0</v>
      </c>
      <c r="K343" s="14"/>
    </row>
    <row r="344" spans="1:11" ht="14.5" x14ac:dyDescent="0.3">
      <c r="A344" s="37">
        <v>336</v>
      </c>
      <c r="B344" s="40" t="s">
        <v>985</v>
      </c>
      <c r="C344" s="38" t="s">
        <v>961</v>
      </c>
      <c r="D344" s="37" t="s">
        <v>15</v>
      </c>
      <c r="E344" s="39">
        <v>0</v>
      </c>
      <c r="F344" s="41">
        <v>9950</v>
      </c>
      <c r="G344" s="12"/>
      <c r="H344" s="12">
        <f t="shared" si="16"/>
        <v>0</v>
      </c>
      <c r="I344" s="12">
        <f t="shared" si="17"/>
        <v>0</v>
      </c>
      <c r="J344" s="12">
        <f t="shared" si="18"/>
        <v>0</v>
      </c>
      <c r="K344" s="14"/>
    </row>
    <row r="345" spans="1:11" ht="14.5" x14ac:dyDescent="0.3">
      <c r="A345" s="37">
        <v>337</v>
      </c>
      <c r="B345" s="40" t="s">
        <v>990</v>
      </c>
      <c r="C345" s="38" t="s">
        <v>989</v>
      </c>
      <c r="D345" s="37" t="s">
        <v>987</v>
      </c>
      <c r="E345" s="41">
        <v>0</v>
      </c>
      <c r="F345" s="39">
        <v>14600</v>
      </c>
      <c r="G345" s="12"/>
      <c r="H345" s="12">
        <f t="shared" si="16"/>
        <v>0</v>
      </c>
      <c r="I345" s="12">
        <f t="shared" si="17"/>
        <v>0</v>
      </c>
      <c r="J345" s="12">
        <f t="shared" si="18"/>
        <v>0</v>
      </c>
      <c r="K345" s="14"/>
    </row>
    <row r="346" spans="1:11" ht="14.5" x14ac:dyDescent="0.3">
      <c r="A346" s="37">
        <v>338</v>
      </c>
      <c r="B346" s="37" t="s">
        <v>996</v>
      </c>
      <c r="C346" s="38" t="s">
        <v>995</v>
      </c>
      <c r="D346" s="37" t="s">
        <v>13</v>
      </c>
      <c r="E346" s="39">
        <v>0</v>
      </c>
      <c r="F346" s="39">
        <v>2490</v>
      </c>
      <c r="G346" s="12"/>
      <c r="H346" s="12">
        <f t="shared" si="16"/>
        <v>0</v>
      </c>
      <c r="I346" s="12">
        <f t="shared" si="17"/>
        <v>0</v>
      </c>
      <c r="J346" s="12">
        <f t="shared" si="18"/>
        <v>0</v>
      </c>
      <c r="K346" s="14"/>
    </row>
    <row r="347" spans="1:11" ht="14.5" x14ac:dyDescent="0.3">
      <c r="A347" s="37">
        <v>339</v>
      </c>
      <c r="B347" s="40" t="s">
        <v>1112</v>
      </c>
      <c r="C347" s="38" t="s">
        <v>1159</v>
      </c>
      <c r="D347" s="37" t="s">
        <v>12</v>
      </c>
      <c r="E347" s="39">
        <v>2005754</v>
      </c>
      <c r="F347" s="41">
        <v>0</v>
      </c>
      <c r="G347" s="12"/>
      <c r="H347" s="12">
        <f t="shared" si="16"/>
        <v>0</v>
      </c>
      <c r="I347" s="12">
        <f t="shared" si="17"/>
        <v>0</v>
      </c>
      <c r="J347" s="12">
        <f t="shared" si="18"/>
        <v>0</v>
      </c>
      <c r="K347" s="14"/>
    </row>
    <row r="348" spans="1:11" ht="14.5" x14ac:dyDescent="0.3">
      <c r="A348" s="37">
        <v>340</v>
      </c>
      <c r="B348" s="40" t="s">
        <v>1133</v>
      </c>
      <c r="C348" s="38" t="s">
        <v>1159</v>
      </c>
      <c r="D348" s="37" t="s">
        <v>12</v>
      </c>
      <c r="E348" s="41">
        <v>0</v>
      </c>
      <c r="F348" s="39">
        <v>60094</v>
      </c>
      <c r="G348" s="12"/>
      <c r="H348" s="12">
        <f t="shared" si="16"/>
        <v>0</v>
      </c>
      <c r="I348" s="12">
        <f t="shared" si="17"/>
        <v>0</v>
      </c>
      <c r="J348" s="12">
        <f t="shared" si="18"/>
        <v>0</v>
      </c>
      <c r="K348" s="14"/>
    </row>
    <row r="349" spans="1:11" ht="14.5" x14ac:dyDescent="0.3">
      <c r="A349" s="37">
        <v>341</v>
      </c>
      <c r="B349" s="37" t="s">
        <v>1113</v>
      </c>
      <c r="C349" s="38" t="s">
        <v>1160</v>
      </c>
      <c r="D349" s="37" t="s">
        <v>82</v>
      </c>
      <c r="E349" s="39">
        <v>142250</v>
      </c>
      <c r="F349" s="39">
        <v>0</v>
      </c>
      <c r="G349" s="12"/>
      <c r="H349" s="12">
        <f t="shared" si="16"/>
        <v>0</v>
      </c>
      <c r="I349" s="12">
        <f t="shared" si="17"/>
        <v>0</v>
      </c>
      <c r="J349" s="12">
        <f t="shared" si="18"/>
        <v>0</v>
      </c>
      <c r="K349" s="14"/>
    </row>
    <row r="350" spans="1:11" ht="14.5" x14ac:dyDescent="0.3">
      <c r="A350" s="37">
        <v>342</v>
      </c>
      <c r="B350" s="40" t="s">
        <v>1134</v>
      </c>
      <c r="C350" s="38" t="s">
        <v>1160</v>
      </c>
      <c r="D350" s="37" t="s">
        <v>82</v>
      </c>
      <c r="E350" s="39">
        <v>0</v>
      </c>
      <c r="F350" s="41">
        <v>77890</v>
      </c>
      <c r="G350" s="12"/>
      <c r="H350" s="12">
        <f t="shared" si="16"/>
        <v>0</v>
      </c>
      <c r="I350" s="12">
        <f t="shared" si="17"/>
        <v>0</v>
      </c>
      <c r="J350" s="12">
        <f t="shared" si="18"/>
        <v>0</v>
      </c>
      <c r="K350" s="14"/>
    </row>
    <row r="351" spans="1:11" ht="14.5" x14ac:dyDescent="0.3">
      <c r="A351" s="37">
        <v>343</v>
      </c>
      <c r="B351" s="40" t="s">
        <v>1114</v>
      </c>
      <c r="C351" s="38" t="s">
        <v>1161</v>
      </c>
      <c r="D351" s="37" t="s">
        <v>1155</v>
      </c>
      <c r="E351" s="41">
        <v>180800</v>
      </c>
      <c r="F351" s="39">
        <v>0</v>
      </c>
      <c r="G351" s="12"/>
      <c r="H351" s="12">
        <f t="shared" si="16"/>
        <v>0</v>
      </c>
      <c r="I351" s="12">
        <f t="shared" si="17"/>
        <v>0</v>
      </c>
      <c r="J351" s="12">
        <f t="shared" si="18"/>
        <v>0</v>
      </c>
      <c r="K351" s="14"/>
    </row>
    <row r="352" spans="1:11" ht="14.5" x14ac:dyDescent="0.3">
      <c r="A352" s="37">
        <v>344</v>
      </c>
      <c r="B352" s="37" t="s">
        <v>1135</v>
      </c>
      <c r="C352" s="38" t="s">
        <v>1161</v>
      </c>
      <c r="D352" s="37" t="s">
        <v>1155</v>
      </c>
      <c r="E352" s="39">
        <v>0</v>
      </c>
      <c r="F352" s="39">
        <v>54274</v>
      </c>
      <c r="G352" s="12"/>
      <c r="H352" s="12">
        <f t="shared" si="16"/>
        <v>0</v>
      </c>
      <c r="I352" s="12">
        <f t="shared" si="17"/>
        <v>0</v>
      </c>
      <c r="J352" s="12">
        <f t="shared" si="18"/>
        <v>0</v>
      </c>
      <c r="K352" s="14"/>
    </row>
    <row r="353" spans="1:11" ht="14.5" x14ac:dyDescent="0.3">
      <c r="A353" s="37">
        <v>345</v>
      </c>
      <c r="B353" s="40" t="s">
        <v>1001</v>
      </c>
      <c r="C353" s="38" t="s">
        <v>999</v>
      </c>
      <c r="D353" s="37" t="s">
        <v>1000</v>
      </c>
      <c r="E353" s="39">
        <v>0</v>
      </c>
      <c r="F353" s="41">
        <v>9150</v>
      </c>
      <c r="G353" s="12"/>
      <c r="H353" s="12">
        <f t="shared" si="16"/>
        <v>0</v>
      </c>
      <c r="I353" s="12">
        <f t="shared" si="17"/>
        <v>0</v>
      </c>
      <c r="J353" s="12">
        <f t="shared" si="18"/>
        <v>0</v>
      </c>
      <c r="K353" s="14"/>
    </row>
    <row r="354" spans="1:11" ht="14.5" x14ac:dyDescent="0.3">
      <c r="A354" s="37">
        <v>346</v>
      </c>
      <c r="B354" s="40" t="s">
        <v>1115</v>
      </c>
      <c r="C354" s="38" t="s">
        <v>1162</v>
      </c>
      <c r="D354" s="37" t="s">
        <v>1155</v>
      </c>
      <c r="E354" s="41">
        <v>452000</v>
      </c>
      <c r="F354" s="39">
        <v>0</v>
      </c>
      <c r="G354" s="12"/>
      <c r="H354" s="12">
        <f t="shared" si="16"/>
        <v>0</v>
      </c>
      <c r="I354" s="12">
        <f t="shared" si="17"/>
        <v>0</v>
      </c>
      <c r="J354" s="12">
        <f t="shared" si="18"/>
        <v>0</v>
      </c>
      <c r="K354" s="14"/>
    </row>
    <row r="355" spans="1:11" ht="14.5" x14ac:dyDescent="0.3">
      <c r="A355" s="37">
        <v>347</v>
      </c>
      <c r="B355" s="37" t="s">
        <v>1136</v>
      </c>
      <c r="C355" s="38" t="s">
        <v>1162</v>
      </c>
      <c r="D355" s="37" t="s">
        <v>1155</v>
      </c>
      <c r="E355" s="39">
        <v>0</v>
      </c>
      <c r="F355" s="39">
        <v>54400</v>
      </c>
      <c r="G355" s="12"/>
      <c r="H355" s="12">
        <f t="shared" si="16"/>
        <v>0</v>
      </c>
      <c r="I355" s="12">
        <f t="shared" si="17"/>
        <v>0</v>
      </c>
      <c r="J355" s="12">
        <f t="shared" si="18"/>
        <v>0</v>
      </c>
      <c r="K355" s="14"/>
    </row>
    <row r="356" spans="1:11" ht="43.5" x14ac:dyDescent="0.3">
      <c r="A356" s="37">
        <v>348</v>
      </c>
      <c r="B356" s="40" t="s">
        <v>1020</v>
      </c>
      <c r="C356" s="38" t="s">
        <v>1019</v>
      </c>
      <c r="D356" s="37" t="s">
        <v>101</v>
      </c>
      <c r="E356" s="41">
        <v>0</v>
      </c>
      <c r="F356" s="39">
        <v>8767000</v>
      </c>
      <c r="G356" s="12"/>
      <c r="H356" s="12">
        <f t="shared" si="16"/>
        <v>0</v>
      </c>
      <c r="I356" s="12">
        <f t="shared" si="17"/>
        <v>0</v>
      </c>
      <c r="J356" s="12">
        <f t="shared" si="18"/>
        <v>0</v>
      </c>
      <c r="K356" s="14"/>
    </row>
    <row r="357" spans="1:11" ht="43.5" x14ac:dyDescent="0.3">
      <c r="A357" s="37">
        <v>349</v>
      </c>
      <c r="B357" s="37" t="s">
        <v>1022</v>
      </c>
      <c r="C357" s="38" t="s">
        <v>1021</v>
      </c>
      <c r="D357" s="37" t="s">
        <v>101</v>
      </c>
      <c r="E357" s="39">
        <v>0</v>
      </c>
      <c r="F357" s="39">
        <v>8807500</v>
      </c>
      <c r="G357" s="12"/>
      <c r="H357" s="12">
        <f t="shared" si="16"/>
        <v>0</v>
      </c>
      <c r="I357" s="12">
        <f t="shared" si="17"/>
        <v>0</v>
      </c>
      <c r="J357" s="12">
        <f t="shared" si="18"/>
        <v>0</v>
      </c>
      <c r="K357" s="14"/>
    </row>
    <row r="358" spans="1:11" ht="43.5" x14ac:dyDescent="0.3">
      <c r="A358" s="37">
        <v>350</v>
      </c>
      <c r="B358" s="40" t="s">
        <v>1018</v>
      </c>
      <c r="C358" s="38" t="s">
        <v>1017</v>
      </c>
      <c r="D358" s="37" t="s">
        <v>101</v>
      </c>
      <c r="E358" s="41">
        <v>0</v>
      </c>
      <c r="F358" s="39">
        <v>7371844</v>
      </c>
      <c r="G358" s="12"/>
      <c r="H358" s="12">
        <f t="shared" si="16"/>
        <v>0</v>
      </c>
      <c r="I358" s="12">
        <f t="shared" si="17"/>
        <v>0</v>
      </c>
      <c r="J358" s="12">
        <f t="shared" si="18"/>
        <v>0</v>
      </c>
      <c r="K358" s="14"/>
    </row>
    <row r="359" spans="1:11" ht="29" x14ac:dyDescent="0.3">
      <c r="A359" s="37">
        <v>351</v>
      </c>
      <c r="B359" s="37" t="s">
        <v>1045</v>
      </c>
      <c r="C359" s="38" t="s">
        <v>1044</v>
      </c>
      <c r="D359" s="37" t="s">
        <v>101</v>
      </c>
      <c r="E359" s="39">
        <v>0</v>
      </c>
      <c r="F359" s="39">
        <v>260000</v>
      </c>
      <c r="G359" s="12"/>
      <c r="H359" s="12">
        <f t="shared" si="16"/>
        <v>0</v>
      </c>
      <c r="I359" s="12">
        <f t="shared" si="17"/>
        <v>0</v>
      </c>
      <c r="J359" s="12">
        <f t="shared" si="18"/>
        <v>0</v>
      </c>
      <c r="K359" s="14"/>
    </row>
    <row r="360" spans="1:11" ht="29" x14ac:dyDescent="0.3">
      <c r="A360" s="37">
        <v>352</v>
      </c>
      <c r="B360" s="40" t="s">
        <v>1043</v>
      </c>
      <c r="C360" s="38" t="s">
        <v>1042</v>
      </c>
      <c r="D360" s="37" t="s">
        <v>101</v>
      </c>
      <c r="E360" s="39">
        <v>0</v>
      </c>
      <c r="F360" s="41">
        <v>260000</v>
      </c>
      <c r="G360" s="12"/>
      <c r="H360" s="12">
        <f t="shared" si="16"/>
        <v>0</v>
      </c>
      <c r="I360" s="12">
        <f t="shared" si="17"/>
        <v>0</v>
      </c>
      <c r="J360" s="12">
        <f t="shared" si="18"/>
        <v>0</v>
      </c>
      <c r="K360" s="14"/>
    </row>
    <row r="361" spans="1:11" ht="29" x14ac:dyDescent="0.3">
      <c r="A361" s="37">
        <v>353</v>
      </c>
      <c r="B361" s="40" t="s">
        <v>1041</v>
      </c>
      <c r="C361" s="38" t="s">
        <v>1040</v>
      </c>
      <c r="D361" s="37" t="s">
        <v>101</v>
      </c>
      <c r="E361" s="41">
        <v>0</v>
      </c>
      <c r="F361" s="39">
        <v>260000</v>
      </c>
      <c r="G361" s="12"/>
      <c r="H361" s="12">
        <f t="shared" si="16"/>
        <v>0</v>
      </c>
      <c r="I361" s="12">
        <f t="shared" si="17"/>
        <v>0</v>
      </c>
      <c r="J361" s="12">
        <f t="shared" si="18"/>
        <v>0</v>
      </c>
      <c r="K361" s="14"/>
    </row>
    <row r="362" spans="1:11" ht="29" x14ac:dyDescent="0.3">
      <c r="A362" s="37">
        <v>354</v>
      </c>
      <c r="B362" s="37" t="s">
        <v>1039</v>
      </c>
      <c r="C362" s="38" t="s">
        <v>1038</v>
      </c>
      <c r="D362" s="37" t="s">
        <v>101</v>
      </c>
      <c r="E362" s="39">
        <v>0</v>
      </c>
      <c r="F362" s="39">
        <v>260000</v>
      </c>
      <c r="G362" s="12"/>
      <c r="H362" s="12">
        <f t="shared" si="16"/>
        <v>0</v>
      </c>
      <c r="I362" s="12">
        <f t="shared" si="17"/>
        <v>0</v>
      </c>
      <c r="J362" s="12">
        <f t="shared" si="18"/>
        <v>0</v>
      </c>
      <c r="K362" s="14"/>
    </row>
    <row r="363" spans="1:11" ht="29" x14ac:dyDescent="0.3">
      <c r="A363" s="37">
        <v>355</v>
      </c>
      <c r="B363" s="40" t="s">
        <v>1049</v>
      </c>
      <c r="C363" s="38" t="s">
        <v>1048</v>
      </c>
      <c r="D363" s="37" t="s">
        <v>101</v>
      </c>
      <c r="E363" s="39">
        <v>0</v>
      </c>
      <c r="F363" s="41">
        <v>260000</v>
      </c>
      <c r="G363" s="12"/>
      <c r="H363" s="12">
        <f t="shared" si="16"/>
        <v>0</v>
      </c>
      <c r="I363" s="12">
        <f t="shared" si="17"/>
        <v>0</v>
      </c>
      <c r="J363" s="12">
        <f t="shared" si="18"/>
        <v>0</v>
      </c>
      <c r="K363" s="14"/>
    </row>
    <row r="364" spans="1:11" ht="29" x14ac:dyDescent="0.3">
      <c r="A364" s="37">
        <v>356</v>
      </c>
      <c r="B364" s="40" t="s">
        <v>1047</v>
      </c>
      <c r="C364" s="38" t="s">
        <v>1046</v>
      </c>
      <c r="D364" s="37" t="s">
        <v>101</v>
      </c>
      <c r="E364" s="41">
        <v>0</v>
      </c>
      <c r="F364" s="39">
        <v>260000</v>
      </c>
      <c r="G364" s="12"/>
      <c r="H364" s="12">
        <f t="shared" si="16"/>
        <v>0</v>
      </c>
      <c r="I364" s="12">
        <f t="shared" si="17"/>
        <v>0</v>
      </c>
      <c r="J364" s="12">
        <f t="shared" si="18"/>
        <v>0</v>
      </c>
      <c r="K364" s="14"/>
    </row>
    <row r="365" spans="1:11" ht="43.5" x14ac:dyDescent="0.3">
      <c r="A365" s="37">
        <v>357</v>
      </c>
      <c r="B365" s="37" t="s">
        <v>1057</v>
      </c>
      <c r="C365" s="38" t="s">
        <v>1056</v>
      </c>
      <c r="D365" s="37" t="s">
        <v>101</v>
      </c>
      <c r="E365" s="39">
        <v>0</v>
      </c>
      <c r="F365" s="39">
        <v>260000</v>
      </c>
      <c r="G365" s="12"/>
      <c r="H365" s="12">
        <f t="shared" si="16"/>
        <v>0</v>
      </c>
      <c r="I365" s="12">
        <f t="shared" si="17"/>
        <v>0</v>
      </c>
      <c r="J365" s="12">
        <f t="shared" si="18"/>
        <v>0</v>
      </c>
      <c r="K365" s="14"/>
    </row>
    <row r="366" spans="1:11" ht="43.5" x14ac:dyDescent="0.3">
      <c r="A366" s="37">
        <v>358</v>
      </c>
      <c r="B366" s="40" t="s">
        <v>1055</v>
      </c>
      <c r="C366" s="38" t="s">
        <v>1054</v>
      </c>
      <c r="D366" s="37" t="s">
        <v>101</v>
      </c>
      <c r="E366" s="39">
        <v>0</v>
      </c>
      <c r="F366" s="41">
        <v>260000</v>
      </c>
      <c r="G366" s="12"/>
      <c r="H366" s="12">
        <f t="shared" si="16"/>
        <v>0</v>
      </c>
      <c r="I366" s="12">
        <f t="shared" si="17"/>
        <v>0</v>
      </c>
      <c r="J366" s="12">
        <f t="shared" si="18"/>
        <v>0</v>
      </c>
      <c r="K366" s="14"/>
    </row>
    <row r="367" spans="1:11" ht="29" x14ac:dyDescent="0.3">
      <c r="A367" s="37">
        <v>359</v>
      </c>
      <c r="B367" s="40" t="s">
        <v>1053</v>
      </c>
      <c r="C367" s="38" t="s">
        <v>1052</v>
      </c>
      <c r="D367" s="37" t="s">
        <v>101</v>
      </c>
      <c r="E367" s="41">
        <v>0</v>
      </c>
      <c r="F367" s="39">
        <v>260000</v>
      </c>
      <c r="G367" s="12"/>
      <c r="H367" s="12">
        <f t="shared" si="16"/>
        <v>0</v>
      </c>
      <c r="I367" s="12">
        <f t="shared" si="17"/>
        <v>0</v>
      </c>
      <c r="J367" s="12">
        <f t="shared" si="18"/>
        <v>0</v>
      </c>
      <c r="K367" s="14"/>
    </row>
    <row r="368" spans="1:11" ht="29" x14ac:dyDescent="0.3">
      <c r="A368" s="37">
        <v>360</v>
      </c>
      <c r="B368" s="37" t="s">
        <v>1051</v>
      </c>
      <c r="C368" s="38" t="s">
        <v>1050</v>
      </c>
      <c r="D368" s="37" t="s">
        <v>101</v>
      </c>
      <c r="E368" s="39">
        <v>0</v>
      </c>
      <c r="F368" s="39">
        <v>260000</v>
      </c>
      <c r="G368" s="12"/>
      <c r="H368" s="12">
        <f t="shared" si="16"/>
        <v>0</v>
      </c>
      <c r="I368" s="12">
        <f t="shared" si="17"/>
        <v>0</v>
      </c>
      <c r="J368" s="12">
        <f t="shared" si="18"/>
        <v>0</v>
      </c>
      <c r="K368" s="14"/>
    </row>
    <row r="369" spans="1:11" ht="14.5" x14ac:dyDescent="0.3">
      <c r="A369" s="37">
        <v>361</v>
      </c>
      <c r="B369" s="40" t="s">
        <v>788</v>
      </c>
      <c r="C369" s="38" t="s">
        <v>787</v>
      </c>
      <c r="D369" s="37" t="s">
        <v>740</v>
      </c>
      <c r="E369" s="39">
        <v>5220</v>
      </c>
      <c r="F369" s="41">
        <v>0</v>
      </c>
      <c r="G369" s="12"/>
      <c r="H369" s="12">
        <f t="shared" si="16"/>
        <v>0</v>
      </c>
      <c r="I369" s="12">
        <f t="shared" si="17"/>
        <v>0</v>
      </c>
      <c r="J369" s="12">
        <f t="shared" si="18"/>
        <v>0</v>
      </c>
      <c r="K369" s="14"/>
    </row>
    <row r="370" spans="1:11" ht="14.5" x14ac:dyDescent="0.3">
      <c r="A370" s="37">
        <v>362</v>
      </c>
      <c r="B370" s="40" t="s">
        <v>1137</v>
      </c>
      <c r="C370" s="38" t="s">
        <v>787</v>
      </c>
      <c r="D370" s="37" t="s">
        <v>740</v>
      </c>
      <c r="E370" s="41">
        <v>0</v>
      </c>
      <c r="F370" s="39">
        <v>0</v>
      </c>
      <c r="G370" s="12"/>
      <c r="H370" s="12">
        <f t="shared" si="16"/>
        <v>0</v>
      </c>
      <c r="I370" s="12">
        <f t="shared" si="17"/>
        <v>0</v>
      </c>
      <c r="J370" s="12">
        <f t="shared" si="18"/>
        <v>0</v>
      </c>
      <c r="K370" s="14"/>
    </row>
    <row r="371" spans="1:11" ht="29" x14ac:dyDescent="0.3">
      <c r="A371" s="37">
        <v>363</v>
      </c>
      <c r="B371" s="37" t="s">
        <v>345</v>
      </c>
      <c r="C371" s="38" t="s">
        <v>344</v>
      </c>
      <c r="D371" s="37" t="s">
        <v>13</v>
      </c>
      <c r="E371" s="39">
        <v>249142</v>
      </c>
      <c r="F371" s="39">
        <v>0</v>
      </c>
      <c r="G371" s="12"/>
      <c r="H371" s="12">
        <f t="shared" si="16"/>
        <v>0</v>
      </c>
      <c r="I371" s="12">
        <f t="shared" si="17"/>
        <v>0</v>
      </c>
      <c r="J371" s="12">
        <f t="shared" si="18"/>
        <v>0</v>
      </c>
      <c r="K371" s="14"/>
    </row>
    <row r="372" spans="1:11" ht="29" x14ac:dyDescent="0.3">
      <c r="A372" s="37">
        <v>364</v>
      </c>
      <c r="B372" s="40" t="s">
        <v>346</v>
      </c>
      <c r="C372" s="38" t="s">
        <v>344</v>
      </c>
      <c r="D372" s="37" t="s">
        <v>13</v>
      </c>
      <c r="E372" s="39">
        <v>0</v>
      </c>
      <c r="F372" s="41">
        <v>147857</v>
      </c>
      <c r="G372" s="12"/>
      <c r="H372" s="12">
        <f t="shared" si="16"/>
        <v>0</v>
      </c>
      <c r="I372" s="12">
        <f t="shared" si="17"/>
        <v>0</v>
      </c>
      <c r="J372" s="12">
        <f t="shared" si="18"/>
        <v>0</v>
      </c>
      <c r="K372" s="14"/>
    </row>
    <row r="373" spans="1:11" ht="29" x14ac:dyDescent="0.3">
      <c r="A373" s="37">
        <v>365</v>
      </c>
      <c r="B373" s="40" t="s">
        <v>339</v>
      </c>
      <c r="C373" s="38" t="s">
        <v>338</v>
      </c>
      <c r="D373" s="37" t="s">
        <v>13</v>
      </c>
      <c r="E373" s="41">
        <v>823597</v>
      </c>
      <c r="F373" s="39">
        <v>0</v>
      </c>
      <c r="G373" s="12"/>
      <c r="H373" s="12">
        <f t="shared" si="16"/>
        <v>0</v>
      </c>
      <c r="I373" s="12">
        <f t="shared" si="17"/>
        <v>0</v>
      </c>
      <c r="J373" s="12">
        <f t="shared" si="18"/>
        <v>0</v>
      </c>
      <c r="K373" s="14"/>
    </row>
    <row r="374" spans="1:11" ht="29" x14ac:dyDescent="0.3">
      <c r="A374" s="37">
        <v>366</v>
      </c>
      <c r="B374" s="37" t="s">
        <v>340</v>
      </c>
      <c r="C374" s="38" t="s">
        <v>338</v>
      </c>
      <c r="D374" s="37" t="s">
        <v>13</v>
      </c>
      <c r="E374" s="39">
        <v>0</v>
      </c>
      <c r="F374" s="39">
        <v>366974</v>
      </c>
      <c r="G374" s="12"/>
      <c r="H374" s="12">
        <f t="shared" si="16"/>
        <v>0</v>
      </c>
      <c r="I374" s="12">
        <f t="shared" si="17"/>
        <v>0</v>
      </c>
      <c r="J374" s="12">
        <f t="shared" si="18"/>
        <v>0</v>
      </c>
      <c r="K374" s="14"/>
    </row>
    <row r="375" spans="1:11" ht="29" x14ac:dyDescent="0.3">
      <c r="A375" s="37">
        <v>367</v>
      </c>
      <c r="B375" s="40" t="s">
        <v>342</v>
      </c>
      <c r="C375" s="38" t="s">
        <v>341</v>
      </c>
      <c r="D375" s="37" t="s">
        <v>13</v>
      </c>
      <c r="E375" s="39">
        <v>2480880</v>
      </c>
      <c r="F375" s="41">
        <v>0</v>
      </c>
      <c r="G375" s="12"/>
      <c r="H375" s="12">
        <f t="shared" si="16"/>
        <v>0</v>
      </c>
      <c r="I375" s="12">
        <f t="shared" si="17"/>
        <v>0</v>
      </c>
      <c r="J375" s="12">
        <f t="shared" si="18"/>
        <v>0</v>
      </c>
      <c r="K375" s="14"/>
    </row>
    <row r="376" spans="1:11" ht="29" x14ac:dyDescent="0.3">
      <c r="A376" s="37">
        <v>368</v>
      </c>
      <c r="B376" s="40" t="s">
        <v>343</v>
      </c>
      <c r="C376" s="38" t="s">
        <v>341</v>
      </c>
      <c r="D376" s="37" t="s">
        <v>13</v>
      </c>
      <c r="E376" s="41">
        <v>0</v>
      </c>
      <c r="F376" s="39">
        <v>425430</v>
      </c>
      <c r="G376" s="12"/>
      <c r="H376" s="12">
        <f t="shared" si="16"/>
        <v>0</v>
      </c>
      <c r="I376" s="12">
        <f t="shared" si="17"/>
        <v>0</v>
      </c>
      <c r="J376" s="12">
        <f t="shared" si="18"/>
        <v>0</v>
      </c>
      <c r="K376" s="14"/>
    </row>
    <row r="377" spans="1:11" ht="14.5" x14ac:dyDescent="0.3">
      <c r="A377" s="37">
        <v>369</v>
      </c>
      <c r="B377" s="37" t="s">
        <v>643</v>
      </c>
      <c r="C377" s="38" t="s">
        <v>81</v>
      </c>
      <c r="D377" s="37" t="s">
        <v>12</v>
      </c>
      <c r="E377" s="39">
        <v>20000</v>
      </c>
      <c r="F377" s="39">
        <v>0</v>
      </c>
      <c r="G377" s="12"/>
      <c r="H377" s="12">
        <f t="shared" si="16"/>
        <v>0</v>
      </c>
      <c r="I377" s="12">
        <f t="shared" si="17"/>
        <v>0</v>
      </c>
      <c r="J377" s="12">
        <f t="shared" si="18"/>
        <v>0</v>
      </c>
      <c r="K377" s="14"/>
    </row>
    <row r="378" spans="1:11" ht="14.5" x14ac:dyDescent="0.3">
      <c r="A378" s="37">
        <v>370</v>
      </c>
      <c r="B378" s="40" t="s">
        <v>644</v>
      </c>
      <c r="C378" s="38" t="s">
        <v>81</v>
      </c>
      <c r="D378" s="37" t="s">
        <v>12</v>
      </c>
      <c r="E378" s="41">
        <v>0</v>
      </c>
      <c r="F378" s="39">
        <v>1862</v>
      </c>
      <c r="G378" s="12"/>
      <c r="H378" s="12">
        <f t="shared" si="16"/>
        <v>0</v>
      </c>
      <c r="I378" s="12">
        <f t="shared" si="17"/>
        <v>0</v>
      </c>
      <c r="J378" s="12">
        <f t="shared" si="18"/>
        <v>0</v>
      </c>
      <c r="K378" s="14"/>
    </row>
    <row r="379" spans="1:11" ht="14.5" x14ac:dyDescent="0.3">
      <c r="A379" s="37">
        <v>371</v>
      </c>
      <c r="B379" s="37" t="s">
        <v>815</v>
      </c>
      <c r="C379" s="38" t="s">
        <v>814</v>
      </c>
      <c r="D379" s="37" t="s">
        <v>71</v>
      </c>
      <c r="E379" s="39">
        <v>1770000</v>
      </c>
      <c r="F379" s="39">
        <v>0</v>
      </c>
      <c r="G379" s="12"/>
      <c r="H379" s="12">
        <f t="shared" si="16"/>
        <v>0</v>
      </c>
      <c r="I379" s="12">
        <f t="shared" si="17"/>
        <v>0</v>
      </c>
      <c r="J379" s="12">
        <f t="shared" si="18"/>
        <v>0</v>
      </c>
      <c r="K379" s="14"/>
    </row>
    <row r="380" spans="1:11" ht="14.5" x14ac:dyDescent="0.3">
      <c r="A380" s="37">
        <v>372</v>
      </c>
      <c r="B380" s="40" t="s">
        <v>816</v>
      </c>
      <c r="C380" s="38" t="s">
        <v>814</v>
      </c>
      <c r="D380" s="37" t="s">
        <v>71</v>
      </c>
      <c r="E380" s="39">
        <v>0</v>
      </c>
      <c r="F380" s="41">
        <v>415000</v>
      </c>
      <c r="G380" s="12"/>
      <c r="H380" s="12">
        <f t="shared" si="16"/>
        <v>0</v>
      </c>
      <c r="I380" s="12">
        <f t="shared" si="17"/>
        <v>0</v>
      </c>
      <c r="J380" s="12">
        <f t="shared" si="18"/>
        <v>0</v>
      </c>
      <c r="K380" s="14"/>
    </row>
    <row r="381" spans="1:11" ht="14.5" x14ac:dyDescent="0.3">
      <c r="A381" s="37">
        <v>373</v>
      </c>
      <c r="B381" s="40" t="s">
        <v>818</v>
      </c>
      <c r="C381" s="38" t="s">
        <v>817</v>
      </c>
      <c r="D381" s="37" t="s">
        <v>71</v>
      </c>
      <c r="E381" s="41">
        <v>2770000</v>
      </c>
      <c r="F381" s="39">
        <v>0</v>
      </c>
      <c r="G381" s="12"/>
      <c r="H381" s="12">
        <f t="shared" si="16"/>
        <v>0</v>
      </c>
      <c r="I381" s="12">
        <f t="shared" si="17"/>
        <v>0</v>
      </c>
      <c r="J381" s="12">
        <f t="shared" si="18"/>
        <v>0</v>
      </c>
      <c r="K381" s="14"/>
    </row>
    <row r="382" spans="1:11" ht="14.5" x14ac:dyDescent="0.3">
      <c r="A382" s="37">
        <v>374</v>
      </c>
      <c r="B382" s="37" t="s">
        <v>819</v>
      </c>
      <c r="C382" s="38" t="s">
        <v>817</v>
      </c>
      <c r="D382" s="37" t="s">
        <v>71</v>
      </c>
      <c r="E382" s="39">
        <v>0</v>
      </c>
      <c r="F382" s="39">
        <v>415000</v>
      </c>
      <c r="G382" s="12"/>
      <c r="H382" s="12">
        <f t="shared" si="16"/>
        <v>0</v>
      </c>
      <c r="I382" s="12">
        <f t="shared" si="17"/>
        <v>0</v>
      </c>
      <c r="J382" s="12">
        <f t="shared" si="18"/>
        <v>0</v>
      </c>
      <c r="K382" s="14"/>
    </row>
    <row r="383" spans="1:11" ht="14.5" x14ac:dyDescent="0.3">
      <c r="A383" s="37">
        <v>375</v>
      </c>
      <c r="B383" s="40" t="s">
        <v>336</v>
      </c>
      <c r="C383" s="38" t="s">
        <v>335</v>
      </c>
      <c r="D383" s="37" t="s">
        <v>13</v>
      </c>
      <c r="E383" s="39">
        <v>479425</v>
      </c>
      <c r="F383" s="41">
        <v>0</v>
      </c>
      <c r="G383" s="12"/>
      <c r="H383" s="12">
        <f t="shared" si="16"/>
        <v>0</v>
      </c>
      <c r="I383" s="12">
        <f t="shared" si="17"/>
        <v>0</v>
      </c>
      <c r="J383" s="12">
        <f t="shared" si="18"/>
        <v>0</v>
      </c>
      <c r="K383" s="14"/>
    </row>
    <row r="384" spans="1:11" ht="14.5" x14ac:dyDescent="0.3">
      <c r="A384" s="37">
        <v>376</v>
      </c>
      <c r="B384" s="40" t="s">
        <v>337</v>
      </c>
      <c r="C384" s="38" t="s">
        <v>335</v>
      </c>
      <c r="D384" s="37" t="s">
        <v>13</v>
      </c>
      <c r="E384" s="41">
        <v>0</v>
      </c>
      <c r="F384" s="39">
        <v>54597</v>
      </c>
      <c r="G384" s="12"/>
      <c r="H384" s="12">
        <f t="shared" si="16"/>
        <v>0</v>
      </c>
      <c r="I384" s="12">
        <f t="shared" si="17"/>
        <v>0</v>
      </c>
      <c r="J384" s="12">
        <f t="shared" si="18"/>
        <v>0</v>
      </c>
      <c r="K384" s="14"/>
    </row>
    <row r="385" spans="1:11" ht="14.5" x14ac:dyDescent="0.3">
      <c r="A385" s="37">
        <v>377</v>
      </c>
      <c r="B385" s="37" t="s">
        <v>924</v>
      </c>
      <c r="C385" s="38" t="s">
        <v>923</v>
      </c>
      <c r="D385" s="37" t="s">
        <v>101</v>
      </c>
      <c r="E385" s="39">
        <v>46000</v>
      </c>
      <c r="F385" s="39">
        <v>0</v>
      </c>
      <c r="G385" s="12"/>
      <c r="H385" s="12">
        <f t="shared" si="16"/>
        <v>0</v>
      </c>
      <c r="I385" s="12">
        <f t="shared" si="17"/>
        <v>0</v>
      </c>
      <c r="J385" s="12">
        <f t="shared" si="18"/>
        <v>0</v>
      </c>
      <c r="K385" s="14"/>
    </row>
    <row r="386" spans="1:11" ht="14.5" x14ac:dyDescent="0.3">
      <c r="A386" s="37">
        <v>378</v>
      </c>
      <c r="B386" s="40" t="s">
        <v>925</v>
      </c>
      <c r="C386" s="38" t="s">
        <v>923</v>
      </c>
      <c r="D386" s="37" t="s">
        <v>101</v>
      </c>
      <c r="E386" s="39">
        <v>0</v>
      </c>
      <c r="F386" s="41">
        <v>12000</v>
      </c>
      <c r="G386" s="12"/>
      <c r="H386" s="12">
        <f t="shared" si="16"/>
        <v>0</v>
      </c>
      <c r="I386" s="12">
        <f t="shared" si="17"/>
        <v>0</v>
      </c>
      <c r="J386" s="12">
        <f t="shared" si="18"/>
        <v>0</v>
      </c>
      <c r="K386" s="14"/>
    </row>
    <row r="387" spans="1:11" ht="29" x14ac:dyDescent="0.3">
      <c r="A387" s="37">
        <v>379</v>
      </c>
      <c r="B387" s="40" t="s">
        <v>716</v>
      </c>
      <c r="C387" s="38" t="s">
        <v>715</v>
      </c>
      <c r="D387" s="37" t="s">
        <v>712</v>
      </c>
      <c r="E387" s="41">
        <v>456000</v>
      </c>
      <c r="F387" s="39">
        <v>0</v>
      </c>
      <c r="G387" s="12"/>
      <c r="H387" s="12">
        <f t="shared" si="16"/>
        <v>0</v>
      </c>
      <c r="I387" s="12">
        <f t="shared" si="17"/>
        <v>0</v>
      </c>
      <c r="J387" s="12">
        <f t="shared" si="18"/>
        <v>0</v>
      </c>
      <c r="K387" s="14"/>
    </row>
    <row r="388" spans="1:11" ht="29" x14ac:dyDescent="0.3">
      <c r="A388" s="37">
        <v>380</v>
      </c>
      <c r="B388" s="37" t="s">
        <v>717</v>
      </c>
      <c r="C388" s="38" t="s">
        <v>715</v>
      </c>
      <c r="D388" s="37" t="s">
        <v>712</v>
      </c>
      <c r="E388" s="39">
        <v>0</v>
      </c>
      <c r="F388" s="39">
        <v>44121</v>
      </c>
      <c r="G388" s="12"/>
      <c r="H388" s="12">
        <f t="shared" si="16"/>
        <v>0</v>
      </c>
      <c r="I388" s="12">
        <f t="shared" si="17"/>
        <v>0</v>
      </c>
      <c r="J388" s="12">
        <f t="shared" si="18"/>
        <v>0</v>
      </c>
      <c r="K388" s="14"/>
    </row>
    <row r="389" spans="1:11" ht="29" x14ac:dyDescent="0.3">
      <c r="A389" s="37">
        <v>381</v>
      </c>
      <c r="B389" s="40" t="s">
        <v>399</v>
      </c>
      <c r="C389" s="38" t="s">
        <v>398</v>
      </c>
      <c r="D389" s="37" t="s">
        <v>12</v>
      </c>
      <c r="E389" s="39">
        <v>134679</v>
      </c>
      <c r="F389" s="41">
        <v>0</v>
      </c>
      <c r="G389" s="12"/>
      <c r="H389" s="12">
        <f t="shared" si="16"/>
        <v>0</v>
      </c>
      <c r="I389" s="12">
        <f t="shared" si="17"/>
        <v>0</v>
      </c>
      <c r="J389" s="12">
        <f t="shared" si="18"/>
        <v>0</v>
      </c>
      <c r="K389" s="14"/>
    </row>
    <row r="390" spans="1:11" ht="29" x14ac:dyDescent="0.3">
      <c r="A390" s="37">
        <v>382</v>
      </c>
      <c r="B390" s="40" t="s">
        <v>400</v>
      </c>
      <c r="C390" s="38" t="s">
        <v>398</v>
      </c>
      <c r="D390" s="37" t="s">
        <v>12</v>
      </c>
      <c r="E390" s="41">
        <v>0</v>
      </c>
      <c r="F390" s="39">
        <v>36767</v>
      </c>
      <c r="G390" s="12"/>
      <c r="H390" s="12">
        <f t="shared" si="16"/>
        <v>0</v>
      </c>
      <c r="I390" s="12">
        <f t="shared" si="17"/>
        <v>0</v>
      </c>
      <c r="J390" s="12">
        <f t="shared" si="18"/>
        <v>0</v>
      </c>
      <c r="K390" s="14"/>
    </row>
    <row r="391" spans="1:11" ht="29" x14ac:dyDescent="0.3">
      <c r="A391" s="37">
        <v>383</v>
      </c>
      <c r="B391" s="37" t="s">
        <v>402</v>
      </c>
      <c r="C391" s="38" t="s">
        <v>401</v>
      </c>
      <c r="D391" s="37" t="s">
        <v>12</v>
      </c>
      <c r="E391" s="39">
        <v>286570</v>
      </c>
      <c r="F391" s="39">
        <v>0</v>
      </c>
      <c r="G391" s="12"/>
      <c r="H391" s="12">
        <f t="shared" si="16"/>
        <v>0</v>
      </c>
      <c r="I391" s="12">
        <f t="shared" si="17"/>
        <v>0</v>
      </c>
      <c r="J391" s="12">
        <f t="shared" si="18"/>
        <v>0</v>
      </c>
      <c r="K391" s="14"/>
    </row>
    <row r="392" spans="1:11" ht="29" x14ac:dyDescent="0.3">
      <c r="A392" s="37">
        <v>384</v>
      </c>
      <c r="B392" s="40" t="s">
        <v>403</v>
      </c>
      <c r="C392" s="38" t="s">
        <v>401</v>
      </c>
      <c r="D392" s="37" t="s">
        <v>12</v>
      </c>
      <c r="E392" s="39">
        <v>0</v>
      </c>
      <c r="F392" s="41">
        <v>41712</v>
      </c>
      <c r="G392" s="12"/>
      <c r="H392" s="12">
        <f t="shared" si="16"/>
        <v>0</v>
      </c>
      <c r="I392" s="12">
        <f t="shared" si="17"/>
        <v>0</v>
      </c>
      <c r="J392" s="12">
        <f t="shared" si="18"/>
        <v>0</v>
      </c>
      <c r="K392" s="14"/>
    </row>
    <row r="393" spans="1:11" ht="29" x14ac:dyDescent="0.3">
      <c r="A393" s="37">
        <v>385</v>
      </c>
      <c r="B393" s="40" t="s">
        <v>405</v>
      </c>
      <c r="C393" s="38" t="s">
        <v>404</v>
      </c>
      <c r="D393" s="37" t="s">
        <v>12</v>
      </c>
      <c r="E393" s="41">
        <v>554683</v>
      </c>
      <c r="F393" s="39">
        <v>0</v>
      </c>
      <c r="G393" s="12"/>
      <c r="H393" s="12">
        <f t="shared" si="16"/>
        <v>0</v>
      </c>
      <c r="I393" s="12">
        <f t="shared" si="17"/>
        <v>0</v>
      </c>
      <c r="J393" s="12">
        <f t="shared" si="18"/>
        <v>0</v>
      </c>
      <c r="K393" s="14"/>
    </row>
    <row r="394" spans="1:11" ht="29" x14ac:dyDescent="0.3">
      <c r="A394" s="37">
        <v>386</v>
      </c>
      <c r="B394" s="37" t="s">
        <v>406</v>
      </c>
      <c r="C394" s="38" t="s">
        <v>404</v>
      </c>
      <c r="D394" s="37" t="s">
        <v>12</v>
      </c>
      <c r="E394" s="39">
        <v>0</v>
      </c>
      <c r="F394" s="39">
        <v>48664</v>
      </c>
      <c r="G394" s="12"/>
      <c r="H394" s="12">
        <f t="shared" ref="H394:H457" si="19">E394*G394</f>
        <v>0</v>
      </c>
      <c r="I394" s="12">
        <f t="shared" ref="I394:I457" si="20">F394*G394</f>
        <v>0</v>
      </c>
      <c r="J394" s="12">
        <f t="shared" ref="J394:J457" si="21">SUM(H394:I394)</f>
        <v>0</v>
      </c>
      <c r="K394" s="14"/>
    </row>
    <row r="395" spans="1:11" ht="29" x14ac:dyDescent="0.3">
      <c r="A395" s="37">
        <v>387</v>
      </c>
      <c r="B395" s="40" t="s">
        <v>615</v>
      </c>
      <c r="C395" s="38" t="s">
        <v>84</v>
      </c>
      <c r="D395" s="37" t="s">
        <v>13</v>
      </c>
      <c r="E395" s="41">
        <v>1416169</v>
      </c>
      <c r="F395" s="39">
        <v>0</v>
      </c>
      <c r="G395" s="12"/>
      <c r="H395" s="12">
        <f t="shared" si="19"/>
        <v>0</v>
      </c>
      <c r="I395" s="12">
        <f t="shared" si="20"/>
        <v>0</v>
      </c>
      <c r="J395" s="12">
        <f t="shared" si="21"/>
        <v>0</v>
      </c>
      <c r="K395" s="14"/>
    </row>
    <row r="396" spans="1:11" ht="29" x14ac:dyDescent="0.3">
      <c r="A396" s="37">
        <v>388</v>
      </c>
      <c r="B396" s="37" t="s">
        <v>616</v>
      </c>
      <c r="C396" s="38" t="s">
        <v>84</v>
      </c>
      <c r="D396" s="37" t="s">
        <v>13</v>
      </c>
      <c r="E396" s="39">
        <v>0</v>
      </c>
      <c r="F396" s="39">
        <v>614510</v>
      </c>
      <c r="G396" s="12"/>
      <c r="H396" s="12">
        <f t="shared" si="19"/>
        <v>0</v>
      </c>
      <c r="I396" s="12">
        <f t="shared" si="20"/>
        <v>0</v>
      </c>
      <c r="J396" s="12">
        <f t="shared" si="21"/>
        <v>0</v>
      </c>
      <c r="K396" s="14"/>
    </row>
    <row r="397" spans="1:11" ht="43.5" x14ac:dyDescent="0.3">
      <c r="A397" s="37">
        <v>389</v>
      </c>
      <c r="B397" s="40" t="s">
        <v>806</v>
      </c>
      <c r="C397" s="38" t="s">
        <v>805</v>
      </c>
      <c r="D397" s="37" t="s">
        <v>71</v>
      </c>
      <c r="E397" s="41">
        <v>3000000</v>
      </c>
      <c r="F397" s="39">
        <v>0</v>
      </c>
      <c r="G397" s="12"/>
      <c r="H397" s="12">
        <f t="shared" si="19"/>
        <v>0</v>
      </c>
      <c r="I397" s="12">
        <f t="shared" si="20"/>
        <v>0</v>
      </c>
      <c r="J397" s="12">
        <f t="shared" si="21"/>
        <v>0</v>
      </c>
      <c r="K397" s="14"/>
    </row>
    <row r="398" spans="1:11" ht="43.5" x14ac:dyDescent="0.3">
      <c r="A398" s="37">
        <v>390</v>
      </c>
      <c r="B398" s="37" t="s">
        <v>807</v>
      </c>
      <c r="C398" s="38" t="s">
        <v>805</v>
      </c>
      <c r="D398" s="37" t="s">
        <v>71</v>
      </c>
      <c r="E398" s="39">
        <v>0</v>
      </c>
      <c r="F398" s="39">
        <v>350000</v>
      </c>
      <c r="G398" s="12"/>
      <c r="H398" s="12">
        <f t="shared" si="19"/>
        <v>0</v>
      </c>
      <c r="I398" s="12">
        <f t="shared" si="20"/>
        <v>0</v>
      </c>
      <c r="J398" s="12">
        <f t="shared" si="21"/>
        <v>0</v>
      </c>
      <c r="K398" s="14"/>
    </row>
    <row r="399" spans="1:11" ht="43.5" x14ac:dyDescent="0.3">
      <c r="A399" s="37">
        <v>391</v>
      </c>
      <c r="B399" s="40" t="s">
        <v>803</v>
      </c>
      <c r="C399" s="38" t="s">
        <v>802</v>
      </c>
      <c r="D399" s="37" t="s">
        <v>71</v>
      </c>
      <c r="E399" s="41">
        <v>2500000</v>
      </c>
      <c r="F399" s="39">
        <v>0</v>
      </c>
      <c r="G399" s="12"/>
      <c r="H399" s="12">
        <f t="shared" si="19"/>
        <v>0</v>
      </c>
      <c r="I399" s="12">
        <f t="shared" si="20"/>
        <v>0</v>
      </c>
      <c r="J399" s="12">
        <f t="shared" si="21"/>
        <v>0</v>
      </c>
      <c r="K399" s="14"/>
    </row>
    <row r="400" spans="1:11" ht="43.5" x14ac:dyDescent="0.3">
      <c r="A400" s="37">
        <v>392</v>
      </c>
      <c r="B400" s="37" t="s">
        <v>804</v>
      </c>
      <c r="C400" s="38" t="s">
        <v>802</v>
      </c>
      <c r="D400" s="37" t="s">
        <v>71</v>
      </c>
      <c r="E400" s="39">
        <v>0</v>
      </c>
      <c r="F400" s="39">
        <v>310000</v>
      </c>
      <c r="G400" s="12"/>
      <c r="H400" s="12">
        <f t="shared" si="19"/>
        <v>0</v>
      </c>
      <c r="I400" s="12">
        <f t="shared" si="20"/>
        <v>0</v>
      </c>
      <c r="J400" s="12">
        <f t="shared" si="21"/>
        <v>0</v>
      </c>
      <c r="K400" s="14"/>
    </row>
    <row r="401" spans="1:11" ht="29" x14ac:dyDescent="0.3">
      <c r="A401" s="37">
        <v>393</v>
      </c>
      <c r="B401" s="40" t="s">
        <v>609</v>
      </c>
      <c r="C401" s="38" t="s">
        <v>608</v>
      </c>
      <c r="D401" s="37" t="s">
        <v>13</v>
      </c>
      <c r="E401" s="41">
        <v>764000</v>
      </c>
      <c r="F401" s="39">
        <v>0</v>
      </c>
      <c r="G401" s="12"/>
      <c r="H401" s="12">
        <f t="shared" si="19"/>
        <v>0</v>
      </c>
      <c r="I401" s="12">
        <f t="shared" si="20"/>
        <v>0</v>
      </c>
      <c r="J401" s="12">
        <f t="shared" si="21"/>
        <v>0</v>
      </c>
      <c r="K401" s="14"/>
    </row>
    <row r="402" spans="1:11" ht="29" x14ac:dyDescent="0.3">
      <c r="A402" s="37">
        <v>394</v>
      </c>
      <c r="B402" s="37" t="s">
        <v>610</v>
      </c>
      <c r="C402" s="38" t="s">
        <v>608</v>
      </c>
      <c r="D402" s="37" t="s">
        <v>13</v>
      </c>
      <c r="E402" s="39">
        <v>0</v>
      </c>
      <c r="F402" s="39">
        <v>164830</v>
      </c>
      <c r="G402" s="12"/>
      <c r="H402" s="12">
        <f t="shared" si="19"/>
        <v>0</v>
      </c>
      <c r="I402" s="12">
        <f t="shared" si="20"/>
        <v>0</v>
      </c>
      <c r="J402" s="12">
        <f t="shared" si="21"/>
        <v>0</v>
      </c>
      <c r="K402" s="14"/>
    </row>
    <row r="403" spans="1:11" ht="14.5" x14ac:dyDescent="0.3">
      <c r="A403" s="37">
        <v>395</v>
      </c>
      <c r="B403" s="40" t="s">
        <v>613</v>
      </c>
      <c r="C403" s="38" t="s">
        <v>67</v>
      </c>
      <c r="D403" s="37" t="s">
        <v>13</v>
      </c>
      <c r="E403" s="41">
        <v>9799476</v>
      </c>
      <c r="F403" s="39">
        <v>0</v>
      </c>
      <c r="G403" s="12"/>
      <c r="H403" s="12">
        <f t="shared" si="19"/>
        <v>0</v>
      </c>
      <c r="I403" s="12">
        <f t="shared" si="20"/>
        <v>0</v>
      </c>
      <c r="J403" s="12">
        <f t="shared" si="21"/>
        <v>0</v>
      </c>
      <c r="K403" s="14"/>
    </row>
    <row r="404" spans="1:11" ht="14.5" x14ac:dyDescent="0.3">
      <c r="A404" s="37">
        <v>396</v>
      </c>
      <c r="B404" s="37" t="s">
        <v>614</v>
      </c>
      <c r="C404" s="38" t="s">
        <v>67</v>
      </c>
      <c r="D404" s="37" t="s">
        <v>13</v>
      </c>
      <c r="E404" s="39">
        <v>0</v>
      </c>
      <c r="F404" s="39">
        <v>463918</v>
      </c>
      <c r="G404" s="12"/>
      <c r="H404" s="12">
        <f t="shared" si="19"/>
        <v>0</v>
      </c>
      <c r="I404" s="12">
        <f t="shared" si="20"/>
        <v>0</v>
      </c>
      <c r="J404" s="12">
        <f t="shared" si="21"/>
        <v>0</v>
      </c>
      <c r="K404" s="14"/>
    </row>
    <row r="405" spans="1:11" ht="14.5" x14ac:dyDescent="0.3">
      <c r="A405" s="37">
        <v>397</v>
      </c>
      <c r="B405" s="40" t="s">
        <v>611</v>
      </c>
      <c r="C405" s="38" t="s">
        <v>66</v>
      </c>
      <c r="D405" s="37" t="s">
        <v>13</v>
      </c>
      <c r="E405" s="41">
        <v>2366832</v>
      </c>
      <c r="F405" s="39">
        <v>0</v>
      </c>
      <c r="G405" s="12"/>
      <c r="H405" s="12">
        <f t="shared" si="19"/>
        <v>0</v>
      </c>
      <c r="I405" s="12">
        <f t="shared" si="20"/>
        <v>0</v>
      </c>
      <c r="J405" s="12">
        <f t="shared" si="21"/>
        <v>0</v>
      </c>
      <c r="K405" s="14"/>
    </row>
    <row r="406" spans="1:11" ht="14.5" x14ac:dyDescent="0.3">
      <c r="A406" s="37">
        <v>398</v>
      </c>
      <c r="B406" s="37" t="s">
        <v>612</v>
      </c>
      <c r="C406" s="38" t="s">
        <v>66</v>
      </c>
      <c r="D406" s="37" t="s">
        <v>13</v>
      </c>
      <c r="E406" s="39">
        <v>0</v>
      </c>
      <c r="F406" s="39">
        <v>245863</v>
      </c>
      <c r="G406" s="12"/>
      <c r="H406" s="12">
        <f t="shared" si="19"/>
        <v>0</v>
      </c>
      <c r="I406" s="12">
        <f t="shared" si="20"/>
        <v>0</v>
      </c>
      <c r="J406" s="12">
        <f t="shared" si="21"/>
        <v>0</v>
      </c>
      <c r="K406" s="14"/>
    </row>
    <row r="407" spans="1:11" ht="29" x14ac:dyDescent="0.3">
      <c r="A407" s="37">
        <v>399</v>
      </c>
      <c r="B407" s="40" t="s">
        <v>665</v>
      </c>
      <c r="C407" s="38" t="s">
        <v>664</v>
      </c>
      <c r="D407" s="37" t="s">
        <v>12</v>
      </c>
      <c r="E407" s="41">
        <v>25000</v>
      </c>
      <c r="F407" s="39">
        <v>0</v>
      </c>
      <c r="G407" s="12"/>
      <c r="H407" s="12">
        <f t="shared" si="19"/>
        <v>0</v>
      </c>
      <c r="I407" s="12">
        <f t="shared" si="20"/>
        <v>0</v>
      </c>
      <c r="J407" s="12">
        <f t="shared" si="21"/>
        <v>0</v>
      </c>
      <c r="K407" s="14"/>
    </row>
    <row r="408" spans="1:11" ht="29" x14ac:dyDescent="0.3">
      <c r="A408" s="37">
        <v>400</v>
      </c>
      <c r="B408" s="37" t="s">
        <v>666</v>
      </c>
      <c r="C408" s="38" t="s">
        <v>664</v>
      </c>
      <c r="D408" s="37" t="s">
        <v>12</v>
      </c>
      <c r="E408" s="39">
        <v>0</v>
      </c>
      <c r="F408" s="39">
        <v>10000</v>
      </c>
      <c r="G408" s="12"/>
      <c r="H408" s="12">
        <f t="shared" si="19"/>
        <v>0</v>
      </c>
      <c r="I408" s="12">
        <f t="shared" si="20"/>
        <v>0</v>
      </c>
      <c r="J408" s="12">
        <f t="shared" si="21"/>
        <v>0</v>
      </c>
      <c r="K408" s="14"/>
    </row>
    <row r="409" spans="1:11" ht="29" x14ac:dyDescent="0.3">
      <c r="A409" s="37">
        <v>401</v>
      </c>
      <c r="B409" s="40" t="s">
        <v>1138</v>
      </c>
      <c r="C409" s="38" t="s">
        <v>1163</v>
      </c>
      <c r="D409" s="37" t="s">
        <v>1151</v>
      </c>
      <c r="E409" s="41">
        <v>0</v>
      </c>
      <c r="F409" s="39">
        <v>391</v>
      </c>
      <c r="G409" s="12"/>
      <c r="H409" s="12">
        <f t="shared" si="19"/>
        <v>0</v>
      </c>
      <c r="I409" s="12">
        <f t="shared" si="20"/>
        <v>0</v>
      </c>
      <c r="J409" s="12">
        <f t="shared" si="21"/>
        <v>0</v>
      </c>
      <c r="K409" s="14"/>
    </row>
    <row r="410" spans="1:11" ht="43.5" x14ac:dyDescent="0.3">
      <c r="A410" s="37">
        <v>402</v>
      </c>
      <c r="B410" s="37" t="s">
        <v>1139</v>
      </c>
      <c r="C410" s="38" t="s">
        <v>1164</v>
      </c>
      <c r="D410" s="37" t="s">
        <v>13</v>
      </c>
      <c r="E410" s="39">
        <v>0</v>
      </c>
      <c r="F410" s="39">
        <v>164900</v>
      </c>
      <c r="G410" s="12"/>
      <c r="H410" s="12">
        <f t="shared" si="19"/>
        <v>0</v>
      </c>
      <c r="I410" s="12">
        <f t="shared" si="20"/>
        <v>0</v>
      </c>
      <c r="J410" s="12">
        <f t="shared" si="21"/>
        <v>0</v>
      </c>
      <c r="K410" s="14"/>
    </row>
    <row r="411" spans="1:11" ht="14.5" x14ac:dyDescent="0.3">
      <c r="A411" s="37">
        <v>403</v>
      </c>
      <c r="B411" s="40" t="s">
        <v>1140</v>
      </c>
      <c r="C411" s="38" t="s">
        <v>1165</v>
      </c>
      <c r="D411" s="37" t="s">
        <v>13</v>
      </c>
      <c r="E411" s="41">
        <v>0</v>
      </c>
      <c r="F411" s="39">
        <v>48100</v>
      </c>
      <c r="G411" s="12"/>
      <c r="H411" s="12">
        <f t="shared" si="19"/>
        <v>0</v>
      </c>
      <c r="I411" s="12">
        <f t="shared" si="20"/>
        <v>0</v>
      </c>
      <c r="J411" s="12">
        <f t="shared" si="21"/>
        <v>0</v>
      </c>
      <c r="K411" s="14"/>
    </row>
    <row r="412" spans="1:11" ht="43.5" x14ac:dyDescent="0.3">
      <c r="A412" s="37">
        <v>404</v>
      </c>
      <c r="B412" s="37" t="s">
        <v>631</v>
      </c>
      <c r="C412" s="38" t="s">
        <v>76</v>
      </c>
      <c r="D412" s="37" t="s">
        <v>13</v>
      </c>
      <c r="E412" s="39">
        <v>12715</v>
      </c>
      <c r="F412" s="39">
        <v>0</v>
      </c>
      <c r="G412" s="12"/>
      <c r="H412" s="12">
        <f t="shared" si="19"/>
        <v>0</v>
      </c>
      <c r="I412" s="12">
        <f t="shared" si="20"/>
        <v>0</v>
      </c>
      <c r="J412" s="12">
        <f t="shared" si="21"/>
        <v>0</v>
      </c>
      <c r="K412" s="14"/>
    </row>
    <row r="413" spans="1:11" ht="43.5" x14ac:dyDescent="0.3">
      <c r="A413" s="37">
        <v>405</v>
      </c>
      <c r="B413" s="40" t="s">
        <v>632</v>
      </c>
      <c r="C413" s="38" t="s">
        <v>76</v>
      </c>
      <c r="D413" s="37" t="s">
        <v>13</v>
      </c>
      <c r="E413" s="39">
        <v>0</v>
      </c>
      <c r="F413" s="41">
        <v>1891</v>
      </c>
      <c r="G413" s="12"/>
      <c r="H413" s="12">
        <f t="shared" si="19"/>
        <v>0</v>
      </c>
      <c r="I413" s="12">
        <f t="shared" si="20"/>
        <v>0</v>
      </c>
      <c r="J413" s="12">
        <f t="shared" si="21"/>
        <v>0</v>
      </c>
      <c r="K413" s="14"/>
    </row>
    <row r="414" spans="1:11" ht="43.5" x14ac:dyDescent="0.3">
      <c r="A414" s="37">
        <v>406</v>
      </c>
      <c r="B414" s="40" t="s">
        <v>486</v>
      </c>
      <c r="C414" s="38" t="s">
        <v>485</v>
      </c>
      <c r="D414" s="37" t="s">
        <v>13</v>
      </c>
      <c r="E414" s="41">
        <v>11500</v>
      </c>
      <c r="F414" s="39">
        <v>0</v>
      </c>
      <c r="G414" s="12"/>
      <c r="H414" s="12">
        <f t="shared" si="19"/>
        <v>0</v>
      </c>
      <c r="I414" s="12">
        <f t="shared" si="20"/>
        <v>0</v>
      </c>
      <c r="J414" s="12">
        <f t="shared" si="21"/>
        <v>0</v>
      </c>
      <c r="K414" s="14"/>
    </row>
    <row r="415" spans="1:11" ht="43.5" x14ac:dyDescent="0.3">
      <c r="A415" s="37">
        <v>407</v>
      </c>
      <c r="B415" s="37" t="s">
        <v>487</v>
      </c>
      <c r="C415" s="38" t="s">
        <v>485</v>
      </c>
      <c r="D415" s="37" t="s">
        <v>13</v>
      </c>
      <c r="E415" s="39">
        <v>0</v>
      </c>
      <c r="F415" s="39">
        <v>2300</v>
      </c>
      <c r="G415" s="12"/>
      <c r="H415" s="12">
        <f t="shared" si="19"/>
        <v>0</v>
      </c>
      <c r="I415" s="12">
        <f t="shared" si="20"/>
        <v>0</v>
      </c>
      <c r="J415" s="12">
        <f t="shared" si="21"/>
        <v>0</v>
      </c>
      <c r="K415" s="14"/>
    </row>
    <row r="416" spans="1:11" ht="14.5" x14ac:dyDescent="0.3">
      <c r="A416" s="37">
        <v>408</v>
      </c>
      <c r="B416" s="40" t="s">
        <v>1116</v>
      </c>
      <c r="C416" s="38" t="s">
        <v>1166</v>
      </c>
      <c r="D416" s="37" t="s">
        <v>13</v>
      </c>
      <c r="E416" s="39">
        <v>30000</v>
      </c>
      <c r="F416" s="41">
        <v>0</v>
      </c>
      <c r="G416" s="12"/>
      <c r="H416" s="12">
        <f t="shared" si="19"/>
        <v>0</v>
      </c>
      <c r="I416" s="12">
        <f t="shared" si="20"/>
        <v>0</v>
      </c>
      <c r="J416" s="12">
        <f t="shared" si="21"/>
        <v>0</v>
      </c>
      <c r="K416" s="14"/>
    </row>
    <row r="417" spans="1:11" ht="14.5" x14ac:dyDescent="0.3">
      <c r="A417" s="37">
        <v>409</v>
      </c>
      <c r="B417" s="40" t="s">
        <v>1117</v>
      </c>
      <c r="C417" s="38" t="s">
        <v>1167</v>
      </c>
      <c r="D417" s="37" t="s">
        <v>13</v>
      </c>
      <c r="E417" s="41">
        <v>336000</v>
      </c>
      <c r="F417" s="39">
        <v>0</v>
      </c>
      <c r="G417" s="12"/>
      <c r="H417" s="12">
        <f t="shared" si="19"/>
        <v>0</v>
      </c>
      <c r="I417" s="12">
        <f t="shared" si="20"/>
        <v>0</v>
      </c>
      <c r="J417" s="12">
        <f t="shared" si="21"/>
        <v>0</v>
      </c>
      <c r="K417" s="14"/>
    </row>
    <row r="418" spans="1:11" ht="14.5" x14ac:dyDescent="0.3">
      <c r="A418" s="37">
        <v>410</v>
      </c>
      <c r="B418" s="37" t="s">
        <v>1141</v>
      </c>
      <c r="C418" s="38" t="s">
        <v>1167</v>
      </c>
      <c r="D418" s="37" t="s">
        <v>13</v>
      </c>
      <c r="E418" s="39">
        <v>0</v>
      </c>
      <c r="F418" s="39">
        <v>122902</v>
      </c>
      <c r="G418" s="12"/>
      <c r="H418" s="12">
        <f t="shared" si="19"/>
        <v>0</v>
      </c>
      <c r="I418" s="12">
        <f t="shared" si="20"/>
        <v>0</v>
      </c>
      <c r="J418" s="12">
        <f t="shared" si="21"/>
        <v>0</v>
      </c>
      <c r="K418" s="14"/>
    </row>
    <row r="419" spans="1:11" ht="29" x14ac:dyDescent="0.3">
      <c r="A419" s="37">
        <v>411</v>
      </c>
      <c r="B419" s="40" t="s">
        <v>635</v>
      </c>
      <c r="C419" s="38" t="s">
        <v>87</v>
      </c>
      <c r="D419" s="37" t="s">
        <v>13</v>
      </c>
      <c r="E419" s="39">
        <v>17056</v>
      </c>
      <c r="F419" s="41">
        <v>0</v>
      </c>
      <c r="G419" s="12"/>
      <c r="H419" s="12">
        <f t="shared" si="19"/>
        <v>0</v>
      </c>
      <c r="I419" s="12">
        <f t="shared" si="20"/>
        <v>0</v>
      </c>
      <c r="J419" s="12">
        <f t="shared" si="21"/>
        <v>0</v>
      </c>
      <c r="K419" s="14"/>
    </row>
    <row r="420" spans="1:11" ht="29" x14ac:dyDescent="0.3">
      <c r="A420" s="37">
        <v>412</v>
      </c>
      <c r="B420" s="40" t="s">
        <v>636</v>
      </c>
      <c r="C420" s="38" t="s">
        <v>87</v>
      </c>
      <c r="D420" s="37" t="s">
        <v>13</v>
      </c>
      <c r="E420" s="41">
        <v>0</v>
      </c>
      <c r="F420" s="39">
        <v>4736</v>
      </c>
      <c r="G420" s="12"/>
      <c r="H420" s="12">
        <f t="shared" si="19"/>
        <v>0</v>
      </c>
      <c r="I420" s="12">
        <f t="shared" si="20"/>
        <v>0</v>
      </c>
      <c r="J420" s="12">
        <f t="shared" si="21"/>
        <v>0</v>
      </c>
      <c r="K420" s="14"/>
    </row>
    <row r="421" spans="1:11" ht="14.5" x14ac:dyDescent="0.3">
      <c r="A421" s="37">
        <v>413</v>
      </c>
      <c r="B421" s="37" t="s">
        <v>812</v>
      </c>
      <c r="C421" s="38" t="s">
        <v>811</v>
      </c>
      <c r="D421" s="37" t="s">
        <v>71</v>
      </c>
      <c r="E421" s="39">
        <v>811676</v>
      </c>
      <c r="F421" s="39">
        <v>0</v>
      </c>
      <c r="G421" s="12"/>
      <c r="H421" s="12">
        <f t="shared" si="19"/>
        <v>0</v>
      </c>
      <c r="I421" s="12">
        <f t="shared" si="20"/>
        <v>0</v>
      </c>
      <c r="J421" s="12">
        <f t="shared" si="21"/>
        <v>0</v>
      </c>
      <c r="K421" s="14"/>
    </row>
    <row r="422" spans="1:11" ht="14.5" x14ac:dyDescent="0.3">
      <c r="A422" s="37">
        <v>414</v>
      </c>
      <c r="B422" s="40" t="s">
        <v>813</v>
      </c>
      <c r="C422" s="38" t="s">
        <v>811</v>
      </c>
      <c r="D422" s="37" t="s">
        <v>71</v>
      </c>
      <c r="E422" s="39">
        <v>0</v>
      </c>
      <c r="F422" s="41">
        <v>680000</v>
      </c>
      <c r="G422" s="12"/>
      <c r="H422" s="12">
        <f t="shared" si="19"/>
        <v>0</v>
      </c>
      <c r="I422" s="12">
        <f t="shared" si="20"/>
        <v>0</v>
      </c>
      <c r="J422" s="12">
        <f t="shared" si="21"/>
        <v>0</v>
      </c>
      <c r="K422" s="14"/>
    </row>
    <row r="423" spans="1:11" ht="58" x14ac:dyDescent="0.3">
      <c r="A423" s="37">
        <v>415</v>
      </c>
      <c r="B423" s="40" t="s">
        <v>1118</v>
      </c>
      <c r="C423" s="38" t="s">
        <v>1168</v>
      </c>
      <c r="D423" s="37" t="s">
        <v>1169</v>
      </c>
      <c r="E423" s="41">
        <v>246568</v>
      </c>
      <c r="F423" s="39">
        <v>0</v>
      </c>
      <c r="G423" s="12"/>
      <c r="H423" s="12">
        <f t="shared" si="19"/>
        <v>0</v>
      </c>
      <c r="I423" s="12">
        <f t="shared" si="20"/>
        <v>0</v>
      </c>
      <c r="J423" s="12">
        <f t="shared" si="21"/>
        <v>0</v>
      </c>
      <c r="K423" s="14"/>
    </row>
    <row r="424" spans="1:11" ht="58" x14ac:dyDescent="0.3">
      <c r="A424" s="37">
        <v>416</v>
      </c>
      <c r="B424" s="37" t="s">
        <v>1142</v>
      </c>
      <c r="C424" s="38" t="s">
        <v>1168</v>
      </c>
      <c r="D424" s="37" t="s">
        <v>1169</v>
      </c>
      <c r="E424" s="39">
        <v>0</v>
      </c>
      <c r="F424" s="39">
        <v>233000</v>
      </c>
      <c r="G424" s="12"/>
      <c r="H424" s="12">
        <f t="shared" si="19"/>
        <v>0</v>
      </c>
      <c r="I424" s="12">
        <f t="shared" si="20"/>
        <v>0</v>
      </c>
      <c r="J424" s="12">
        <f t="shared" si="21"/>
        <v>0</v>
      </c>
      <c r="K424" s="14"/>
    </row>
    <row r="425" spans="1:11" ht="14.5" x14ac:dyDescent="0.3">
      <c r="A425" s="37">
        <v>417</v>
      </c>
      <c r="B425" s="40" t="s">
        <v>621</v>
      </c>
      <c r="C425" s="38" t="s">
        <v>68</v>
      </c>
      <c r="D425" s="37" t="s">
        <v>13</v>
      </c>
      <c r="E425" s="39">
        <v>839029</v>
      </c>
      <c r="F425" s="41">
        <v>0</v>
      </c>
      <c r="G425" s="12"/>
      <c r="H425" s="12">
        <f t="shared" si="19"/>
        <v>0</v>
      </c>
      <c r="I425" s="12">
        <f t="shared" si="20"/>
        <v>0</v>
      </c>
      <c r="J425" s="12">
        <f t="shared" si="21"/>
        <v>0</v>
      </c>
      <c r="K425" s="14"/>
    </row>
    <row r="426" spans="1:11" ht="14.5" x14ac:dyDescent="0.3">
      <c r="A426" s="37">
        <v>418</v>
      </c>
      <c r="B426" s="40" t="s">
        <v>622</v>
      </c>
      <c r="C426" s="38" t="s">
        <v>68</v>
      </c>
      <c r="D426" s="37" t="s">
        <v>13</v>
      </c>
      <c r="E426" s="41">
        <v>0</v>
      </c>
      <c r="F426" s="39">
        <v>642872</v>
      </c>
      <c r="G426" s="12"/>
      <c r="H426" s="12">
        <f t="shared" si="19"/>
        <v>0</v>
      </c>
      <c r="I426" s="12">
        <f t="shared" si="20"/>
        <v>0</v>
      </c>
      <c r="J426" s="12">
        <f t="shared" si="21"/>
        <v>0</v>
      </c>
      <c r="K426" s="14"/>
    </row>
    <row r="427" spans="1:11" ht="29" x14ac:dyDescent="0.3">
      <c r="A427" s="37">
        <v>419</v>
      </c>
      <c r="B427" s="37" t="s">
        <v>604</v>
      </c>
      <c r="C427" s="38" t="s">
        <v>603</v>
      </c>
      <c r="D427" s="37" t="s">
        <v>13</v>
      </c>
      <c r="E427" s="39">
        <v>5995460</v>
      </c>
      <c r="F427" s="39">
        <v>0</v>
      </c>
      <c r="G427" s="12"/>
      <c r="H427" s="12">
        <f t="shared" si="19"/>
        <v>0</v>
      </c>
      <c r="I427" s="12">
        <f t="shared" si="20"/>
        <v>0</v>
      </c>
      <c r="J427" s="12">
        <f t="shared" si="21"/>
        <v>0</v>
      </c>
      <c r="K427" s="14"/>
    </row>
    <row r="428" spans="1:11" ht="29" x14ac:dyDescent="0.3">
      <c r="A428" s="37">
        <v>420</v>
      </c>
      <c r="B428" s="40" t="s">
        <v>605</v>
      </c>
      <c r="C428" s="38" t="s">
        <v>603</v>
      </c>
      <c r="D428" s="37" t="s">
        <v>13</v>
      </c>
      <c r="E428" s="39">
        <v>0</v>
      </c>
      <c r="F428" s="41">
        <v>2440933</v>
      </c>
      <c r="G428" s="12"/>
      <c r="H428" s="12">
        <f t="shared" si="19"/>
        <v>0</v>
      </c>
      <c r="I428" s="12">
        <f t="shared" si="20"/>
        <v>0</v>
      </c>
      <c r="J428" s="12">
        <f t="shared" si="21"/>
        <v>0</v>
      </c>
      <c r="K428" s="14"/>
    </row>
    <row r="429" spans="1:11" ht="29" x14ac:dyDescent="0.3">
      <c r="A429" s="37">
        <v>421</v>
      </c>
      <c r="B429" s="40" t="s">
        <v>606</v>
      </c>
      <c r="C429" s="38" t="s">
        <v>65</v>
      </c>
      <c r="D429" s="37" t="s">
        <v>13</v>
      </c>
      <c r="E429" s="41">
        <v>4057888</v>
      </c>
      <c r="F429" s="39">
        <v>0</v>
      </c>
      <c r="G429" s="12"/>
      <c r="H429" s="12">
        <f t="shared" si="19"/>
        <v>0</v>
      </c>
      <c r="I429" s="12">
        <f t="shared" si="20"/>
        <v>0</v>
      </c>
      <c r="J429" s="12">
        <f t="shared" si="21"/>
        <v>0</v>
      </c>
      <c r="K429" s="14"/>
    </row>
    <row r="430" spans="1:11" ht="29" x14ac:dyDescent="0.3">
      <c r="A430" s="37">
        <v>422</v>
      </c>
      <c r="B430" s="37" t="s">
        <v>607</v>
      </c>
      <c r="C430" s="38" t="s">
        <v>65</v>
      </c>
      <c r="D430" s="37" t="s">
        <v>13</v>
      </c>
      <c r="E430" s="39">
        <v>0</v>
      </c>
      <c r="F430" s="39">
        <v>1965570</v>
      </c>
      <c r="G430" s="12"/>
      <c r="H430" s="12">
        <f t="shared" si="19"/>
        <v>0</v>
      </c>
      <c r="I430" s="12">
        <f t="shared" si="20"/>
        <v>0</v>
      </c>
      <c r="J430" s="12">
        <f t="shared" si="21"/>
        <v>0</v>
      </c>
      <c r="K430" s="14"/>
    </row>
    <row r="431" spans="1:11" ht="14.5" x14ac:dyDescent="0.3">
      <c r="A431" s="37">
        <v>423</v>
      </c>
      <c r="B431" s="40" t="s">
        <v>945</v>
      </c>
      <c r="C431" s="38" t="s">
        <v>944</v>
      </c>
      <c r="D431" s="37" t="s">
        <v>91</v>
      </c>
      <c r="E431" s="39">
        <v>0</v>
      </c>
      <c r="F431" s="41">
        <v>20830</v>
      </c>
      <c r="G431" s="12"/>
      <c r="H431" s="12">
        <f t="shared" si="19"/>
        <v>0</v>
      </c>
      <c r="I431" s="12">
        <f t="shared" si="20"/>
        <v>0</v>
      </c>
      <c r="J431" s="12">
        <f t="shared" si="21"/>
        <v>0</v>
      </c>
      <c r="K431" s="14"/>
    </row>
    <row r="432" spans="1:11" ht="14.5" x14ac:dyDescent="0.3">
      <c r="A432" s="37">
        <v>424</v>
      </c>
      <c r="B432" s="40" t="s">
        <v>947</v>
      </c>
      <c r="C432" s="38" t="s">
        <v>946</v>
      </c>
      <c r="D432" s="37" t="s">
        <v>91</v>
      </c>
      <c r="E432" s="41">
        <v>0</v>
      </c>
      <c r="F432" s="39">
        <v>26080</v>
      </c>
      <c r="G432" s="12"/>
      <c r="H432" s="12">
        <f t="shared" si="19"/>
        <v>0</v>
      </c>
      <c r="I432" s="12">
        <f t="shared" si="20"/>
        <v>0</v>
      </c>
      <c r="J432" s="12">
        <f t="shared" si="21"/>
        <v>0</v>
      </c>
      <c r="K432" s="14"/>
    </row>
    <row r="433" spans="1:11" ht="14.5" x14ac:dyDescent="0.3">
      <c r="A433" s="37">
        <v>425</v>
      </c>
      <c r="B433" s="37" t="s">
        <v>821</v>
      </c>
      <c r="C433" s="38" t="s">
        <v>820</v>
      </c>
      <c r="D433" s="37" t="s">
        <v>16</v>
      </c>
      <c r="E433" s="39">
        <v>355920</v>
      </c>
      <c r="F433" s="39">
        <v>0</v>
      </c>
      <c r="G433" s="12"/>
      <c r="H433" s="12">
        <f t="shared" si="19"/>
        <v>0</v>
      </c>
      <c r="I433" s="12">
        <f t="shared" si="20"/>
        <v>0</v>
      </c>
      <c r="J433" s="12">
        <f t="shared" si="21"/>
        <v>0</v>
      </c>
      <c r="K433" s="14"/>
    </row>
    <row r="434" spans="1:11" ht="14.5" x14ac:dyDescent="0.3">
      <c r="A434" s="37">
        <v>426</v>
      </c>
      <c r="B434" s="40" t="s">
        <v>822</v>
      </c>
      <c r="C434" s="38" t="s">
        <v>820</v>
      </c>
      <c r="D434" s="37" t="s">
        <v>16</v>
      </c>
      <c r="E434" s="39">
        <v>0</v>
      </c>
      <c r="F434" s="41">
        <v>21540</v>
      </c>
      <c r="G434" s="12"/>
      <c r="H434" s="12">
        <f t="shared" si="19"/>
        <v>0</v>
      </c>
      <c r="I434" s="12">
        <f t="shared" si="20"/>
        <v>0</v>
      </c>
      <c r="J434" s="12">
        <f t="shared" si="21"/>
        <v>0</v>
      </c>
      <c r="K434" s="14"/>
    </row>
    <row r="435" spans="1:11" ht="29" x14ac:dyDescent="0.3">
      <c r="A435" s="37">
        <v>427</v>
      </c>
      <c r="B435" s="40" t="s">
        <v>970</v>
      </c>
      <c r="C435" s="38" t="s">
        <v>969</v>
      </c>
      <c r="D435" s="37" t="s">
        <v>740</v>
      </c>
      <c r="E435" s="41">
        <v>0</v>
      </c>
      <c r="F435" s="39">
        <v>11100</v>
      </c>
      <c r="G435" s="12"/>
      <c r="H435" s="12">
        <f t="shared" si="19"/>
        <v>0</v>
      </c>
      <c r="I435" s="12">
        <f t="shared" si="20"/>
        <v>0</v>
      </c>
      <c r="J435" s="12">
        <f t="shared" si="21"/>
        <v>0</v>
      </c>
      <c r="K435" s="14"/>
    </row>
    <row r="436" spans="1:11" ht="14.5" x14ac:dyDescent="0.3">
      <c r="A436" s="37">
        <v>428</v>
      </c>
      <c r="B436" s="37" t="s">
        <v>994</v>
      </c>
      <c r="C436" s="38" t="s">
        <v>993</v>
      </c>
      <c r="D436" s="37" t="s">
        <v>16</v>
      </c>
      <c r="E436" s="39">
        <v>0</v>
      </c>
      <c r="F436" s="39">
        <v>9950</v>
      </c>
      <c r="G436" s="12"/>
      <c r="H436" s="12">
        <f t="shared" si="19"/>
        <v>0</v>
      </c>
      <c r="I436" s="12">
        <f t="shared" si="20"/>
        <v>0</v>
      </c>
      <c r="J436" s="12">
        <f t="shared" si="21"/>
        <v>0</v>
      </c>
      <c r="K436" s="14"/>
    </row>
    <row r="437" spans="1:11" ht="14.5" x14ac:dyDescent="0.3">
      <c r="A437" s="37">
        <v>429</v>
      </c>
      <c r="B437" s="40" t="s">
        <v>1068</v>
      </c>
      <c r="C437" s="38" t="s">
        <v>1067</v>
      </c>
      <c r="D437" s="37" t="s">
        <v>911</v>
      </c>
      <c r="E437" s="39">
        <v>0</v>
      </c>
      <c r="F437" s="41">
        <v>9950</v>
      </c>
      <c r="G437" s="12"/>
      <c r="H437" s="12">
        <f t="shared" si="19"/>
        <v>0</v>
      </c>
      <c r="I437" s="12">
        <f t="shared" si="20"/>
        <v>0</v>
      </c>
      <c r="J437" s="12">
        <f t="shared" si="21"/>
        <v>0</v>
      </c>
      <c r="K437" s="14"/>
    </row>
    <row r="438" spans="1:11" ht="14.5" x14ac:dyDescent="0.3">
      <c r="A438" s="37">
        <v>430</v>
      </c>
      <c r="B438" s="40" t="s">
        <v>1073</v>
      </c>
      <c r="C438" s="38" t="s">
        <v>1071</v>
      </c>
      <c r="D438" s="37" t="s">
        <v>1072</v>
      </c>
      <c r="E438" s="41">
        <v>0</v>
      </c>
      <c r="F438" s="39">
        <v>38780</v>
      </c>
      <c r="G438" s="12"/>
      <c r="H438" s="12">
        <f t="shared" si="19"/>
        <v>0</v>
      </c>
      <c r="I438" s="12">
        <f t="shared" si="20"/>
        <v>0</v>
      </c>
      <c r="J438" s="12">
        <f t="shared" si="21"/>
        <v>0</v>
      </c>
      <c r="K438" s="14"/>
    </row>
    <row r="439" spans="1:11" ht="43.5" x14ac:dyDescent="0.3">
      <c r="A439" s="37">
        <v>431</v>
      </c>
      <c r="B439" s="37" t="s">
        <v>1085</v>
      </c>
      <c r="C439" s="38" t="s">
        <v>1084</v>
      </c>
      <c r="D439" s="37" t="s">
        <v>71</v>
      </c>
      <c r="E439" s="39">
        <v>0</v>
      </c>
      <c r="F439" s="39">
        <v>3400000</v>
      </c>
      <c r="G439" s="12"/>
      <c r="H439" s="12">
        <f t="shared" si="19"/>
        <v>0</v>
      </c>
      <c r="I439" s="12">
        <f t="shared" si="20"/>
        <v>0</v>
      </c>
      <c r="J439" s="12">
        <f t="shared" si="21"/>
        <v>0</v>
      </c>
      <c r="K439" s="14"/>
    </row>
    <row r="440" spans="1:11" ht="29" x14ac:dyDescent="0.3">
      <c r="A440" s="37">
        <v>432</v>
      </c>
      <c r="B440" s="40" t="s">
        <v>1075</v>
      </c>
      <c r="C440" s="38" t="s">
        <v>1074</v>
      </c>
      <c r="D440" s="37" t="s">
        <v>16</v>
      </c>
      <c r="E440" s="39">
        <v>0</v>
      </c>
      <c r="F440" s="41">
        <v>30160</v>
      </c>
      <c r="G440" s="12"/>
      <c r="H440" s="12">
        <f t="shared" si="19"/>
        <v>0</v>
      </c>
      <c r="I440" s="12">
        <f t="shared" si="20"/>
        <v>0</v>
      </c>
      <c r="J440" s="12">
        <f t="shared" si="21"/>
        <v>0</v>
      </c>
      <c r="K440" s="14"/>
    </row>
    <row r="441" spans="1:11" ht="14.5" x14ac:dyDescent="0.3">
      <c r="A441" s="37">
        <v>433</v>
      </c>
      <c r="B441" s="40" t="s">
        <v>864</v>
      </c>
      <c r="C441" s="38" t="s">
        <v>863</v>
      </c>
      <c r="D441" s="37" t="s">
        <v>71</v>
      </c>
      <c r="E441" s="41">
        <v>200</v>
      </c>
      <c r="F441" s="39">
        <v>0</v>
      </c>
      <c r="G441" s="12"/>
      <c r="H441" s="12">
        <f t="shared" si="19"/>
        <v>0</v>
      </c>
      <c r="I441" s="12">
        <f t="shared" si="20"/>
        <v>0</v>
      </c>
      <c r="J441" s="12">
        <f t="shared" si="21"/>
        <v>0</v>
      </c>
      <c r="K441" s="14"/>
    </row>
    <row r="442" spans="1:11" ht="14.5" x14ac:dyDescent="0.3">
      <c r="A442" s="37">
        <v>434</v>
      </c>
      <c r="B442" s="37" t="s">
        <v>865</v>
      </c>
      <c r="C442" s="38" t="s">
        <v>863</v>
      </c>
      <c r="D442" s="37" t="s">
        <v>71</v>
      </c>
      <c r="E442" s="39">
        <v>0</v>
      </c>
      <c r="F442" s="39">
        <v>40</v>
      </c>
      <c r="G442" s="12"/>
      <c r="H442" s="12">
        <f t="shared" si="19"/>
        <v>0</v>
      </c>
      <c r="I442" s="12">
        <f t="shared" si="20"/>
        <v>0</v>
      </c>
      <c r="J442" s="12">
        <f t="shared" si="21"/>
        <v>0</v>
      </c>
      <c r="K442" s="14"/>
    </row>
    <row r="443" spans="1:11" ht="14.5" x14ac:dyDescent="0.3">
      <c r="A443" s="37">
        <v>435</v>
      </c>
      <c r="B443" s="40" t="s">
        <v>1066</v>
      </c>
      <c r="C443" s="38" t="s">
        <v>1065</v>
      </c>
      <c r="D443" s="37" t="s">
        <v>71</v>
      </c>
      <c r="E443" s="39">
        <v>0</v>
      </c>
      <c r="F443" s="41">
        <v>10560</v>
      </c>
      <c r="G443" s="12"/>
      <c r="H443" s="12">
        <f t="shared" si="19"/>
        <v>0</v>
      </c>
      <c r="I443" s="12">
        <f t="shared" si="20"/>
        <v>0</v>
      </c>
      <c r="J443" s="12">
        <f t="shared" si="21"/>
        <v>0</v>
      </c>
      <c r="K443" s="14"/>
    </row>
    <row r="444" spans="1:11" ht="43.5" x14ac:dyDescent="0.3">
      <c r="A444" s="37">
        <v>436</v>
      </c>
      <c r="B444" s="40" t="s">
        <v>1079</v>
      </c>
      <c r="C444" s="38" t="s">
        <v>1078</v>
      </c>
      <c r="D444" s="37" t="s">
        <v>71</v>
      </c>
      <c r="E444" s="41">
        <v>0</v>
      </c>
      <c r="F444" s="39">
        <v>129270</v>
      </c>
      <c r="G444" s="12"/>
      <c r="H444" s="12">
        <f t="shared" si="19"/>
        <v>0</v>
      </c>
      <c r="I444" s="12">
        <f t="shared" si="20"/>
        <v>0</v>
      </c>
      <c r="J444" s="12">
        <f t="shared" si="21"/>
        <v>0</v>
      </c>
      <c r="K444" s="14"/>
    </row>
    <row r="445" spans="1:11" ht="14.5" x14ac:dyDescent="0.3">
      <c r="A445" s="37">
        <v>437</v>
      </c>
      <c r="B445" s="37" t="s">
        <v>1061</v>
      </c>
      <c r="C445" s="38" t="s">
        <v>991</v>
      </c>
      <c r="D445" s="37" t="s">
        <v>25</v>
      </c>
      <c r="E445" s="39">
        <v>0</v>
      </c>
      <c r="F445" s="39">
        <v>36470</v>
      </c>
      <c r="G445" s="12"/>
      <c r="H445" s="12">
        <f t="shared" si="19"/>
        <v>0</v>
      </c>
      <c r="I445" s="12">
        <f t="shared" si="20"/>
        <v>0</v>
      </c>
      <c r="J445" s="12">
        <f t="shared" si="21"/>
        <v>0</v>
      </c>
      <c r="K445" s="14"/>
    </row>
    <row r="446" spans="1:11" ht="14.5" x14ac:dyDescent="0.3">
      <c r="A446" s="37">
        <v>438</v>
      </c>
      <c r="B446" s="40" t="s">
        <v>1083</v>
      </c>
      <c r="C446" s="38" t="s">
        <v>1082</v>
      </c>
      <c r="D446" s="37" t="s">
        <v>71</v>
      </c>
      <c r="E446" s="39">
        <v>0</v>
      </c>
      <c r="F446" s="41">
        <v>10570</v>
      </c>
      <c r="G446" s="12"/>
      <c r="H446" s="12">
        <f t="shared" si="19"/>
        <v>0</v>
      </c>
      <c r="I446" s="12">
        <f t="shared" si="20"/>
        <v>0</v>
      </c>
      <c r="J446" s="12">
        <f t="shared" si="21"/>
        <v>0</v>
      </c>
      <c r="K446" s="14"/>
    </row>
    <row r="447" spans="1:11" ht="14.5" x14ac:dyDescent="0.3">
      <c r="A447" s="37">
        <v>439</v>
      </c>
      <c r="B447" s="40" t="s">
        <v>1060</v>
      </c>
      <c r="C447" s="38" t="s">
        <v>986</v>
      </c>
      <c r="D447" s="37" t="s">
        <v>987</v>
      </c>
      <c r="E447" s="41">
        <v>0</v>
      </c>
      <c r="F447" s="39">
        <v>2270</v>
      </c>
      <c r="G447" s="12"/>
      <c r="H447" s="12">
        <f t="shared" si="19"/>
        <v>0</v>
      </c>
      <c r="I447" s="12">
        <f t="shared" si="20"/>
        <v>0</v>
      </c>
      <c r="J447" s="12">
        <f t="shared" si="21"/>
        <v>0</v>
      </c>
      <c r="K447" s="14"/>
    </row>
    <row r="448" spans="1:11" ht="43.5" x14ac:dyDescent="0.3">
      <c r="A448" s="37">
        <v>440</v>
      </c>
      <c r="B448" s="37" t="s">
        <v>1077</v>
      </c>
      <c r="C448" s="38" t="s">
        <v>1076</v>
      </c>
      <c r="D448" s="37" t="s">
        <v>71</v>
      </c>
      <c r="E448" s="39">
        <v>0</v>
      </c>
      <c r="F448" s="39">
        <v>81870</v>
      </c>
      <c r="G448" s="12"/>
      <c r="H448" s="12">
        <f t="shared" si="19"/>
        <v>0</v>
      </c>
      <c r="I448" s="12">
        <f t="shared" si="20"/>
        <v>0</v>
      </c>
      <c r="J448" s="12">
        <f t="shared" si="21"/>
        <v>0</v>
      </c>
      <c r="K448" s="14"/>
    </row>
    <row r="449" spans="1:11" ht="14.5" x14ac:dyDescent="0.3">
      <c r="A449" s="37">
        <v>441</v>
      </c>
      <c r="B449" s="40" t="s">
        <v>1062</v>
      </c>
      <c r="C449" s="38" t="s">
        <v>995</v>
      </c>
      <c r="D449" s="37" t="s">
        <v>712</v>
      </c>
      <c r="E449" s="39">
        <v>0</v>
      </c>
      <c r="F449" s="41">
        <v>2490</v>
      </c>
      <c r="G449" s="12"/>
      <c r="H449" s="12">
        <f t="shared" si="19"/>
        <v>0</v>
      </c>
      <c r="I449" s="12">
        <f t="shared" si="20"/>
        <v>0</v>
      </c>
      <c r="J449" s="12">
        <f t="shared" si="21"/>
        <v>0</v>
      </c>
      <c r="K449" s="14"/>
    </row>
    <row r="450" spans="1:11" ht="14.5" x14ac:dyDescent="0.3">
      <c r="A450" s="37">
        <v>442</v>
      </c>
      <c r="B450" s="40" t="s">
        <v>1064</v>
      </c>
      <c r="C450" s="38" t="s">
        <v>1063</v>
      </c>
      <c r="D450" s="37" t="s">
        <v>911</v>
      </c>
      <c r="E450" s="41">
        <v>0</v>
      </c>
      <c r="F450" s="39">
        <v>30160</v>
      </c>
      <c r="G450" s="12"/>
      <c r="H450" s="12">
        <f t="shared" si="19"/>
        <v>0</v>
      </c>
      <c r="I450" s="12">
        <f t="shared" si="20"/>
        <v>0</v>
      </c>
      <c r="J450" s="12">
        <f t="shared" si="21"/>
        <v>0</v>
      </c>
      <c r="K450" s="14"/>
    </row>
    <row r="451" spans="1:11" ht="14.5" x14ac:dyDescent="0.3">
      <c r="A451" s="37">
        <v>443</v>
      </c>
      <c r="B451" s="37" t="s">
        <v>1081</v>
      </c>
      <c r="C451" s="38" t="s">
        <v>1080</v>
      </c>
      <c r="D451" s="37" t="s">
        <v>71</v>
      </c>
      <c r="E451" s="39">
        <v>0</v>
      </c>
      <c r="F451" s="39">
        <v>217520</v>
      </c>
      <c r="G451" s="12"/>
      <c r="H451" s="12">
        <f t="shared" si="19"/>
        <v>0</v>
      </c>
      <c r="I451" s="12">
        <f t="shared" si="20"/>
        <v>0</v>
      </c>
      <c r="J451" s="12">
        <f t="shared" si="21"/>
        <v>0</v>
      </c>
      <c r="K451" s="14"/>
    </row>
    <row r="452" spans="1:11" ht="29" x14ac:dyDescent="0.3">
      <c r="A452" s="37">
        <v>444</v>
      </c>
      <c r="B452" s="40" t="s">
        <v>873</v>
      </c>
      <c r="C452" s="38" t="s">
        <v>872</v>
      </c>
      <c r="D452" s="37" t="s">
        <v>71</v>
      </c>
      <c r="E452" s="39">
        <v>1100000</v>
      </c>
      <c r="F452" s="41">
        <v>0</v>
      </c>
      <c r="G452" s="12"/>
      <c r="H452" s="12">
        <f t="shared" si="19"/>
        <v>0</v>
      </c>
      <c r="I452" s="12">
        <f t="shared" si="20"/>
        <v>0</v>
      </c>
      <c r="J452" s="12">
        <f t="shared" si="21"/>
        <v>0</v>
      </c>
      <c r="K452" s="14"/>
    </row>
    <row r="453" spans="1:11" ht="29" x14ac:dyDescent="0.3">
      <c r="A453" s="37">
        <v>445</v>
      </c>
      <c r="B453" s="40" t="s">
        <v>874</v>
      </c>
      <c r="C453" s="38" t="s">
        <v>872</v>
      </c>
      <c r="D453" s="37" t="s">
        <v>71</v>
      </c>
      <c r="E453" s="41">
        <v>0</v>
      </c>
      <c r="F453" s="39">
        <v>94800</v>
      </c>
      <c r="G453" s="12"/>
      <c r="H453" s="12">
        <f t="shared" si="19"/>
        <v>0</v>
      </c>
      <c r="I453" s="12">
        <f t="shared" si="20"/>
        <v>0</v>
      </c>
      <c r="J453" s="12">
        <f t="shared" si="21"/>
        <v>0</v>
      </c>
      <c r="K453" s="14"/>
    </row>
    <row r="454" spans="1:11" ht="29" x14ac:dyDescent="0.3">
      <c r="A454" s="37">
        <v>446</v>
      </c>
      <c r="B454" s="37" t="s">
        <v>867</v>
      </c>
      <c r="C454" s="38" t="s">
        <v>866</v>
      </c>
      <c r="D454" s="37" t="s">
        <v>71</v>
      </c>
      <c r="E454" s="39">
        <v>2100800</v>
      </c>
      <c r="F454" s="39">
        <v>0</v>
      </c>
      <c r="G454" s="12"/>
      <c r="H454" s="12">
        <f t="shared" si="19"/>
        <v>0</v>
      </c>
      <c r="I454" s="12">
        <f t="shared" si="20"/>
        <v>0</v>
      </c>
      <c r="J454" s="12">
        <f t="shared" si="21"/>
        <v>0</v>
      </c>
      <c r="K454" s="14"/>
    </row>
    <row r="455" spans="1:11" ht="29" x14ac:dyDescent="0.3">
      <c r="A455" s="37">
        <v>447</v>
      </c>
      <c r="B455" s="40" t="s">
        <v>868</v>
      </c>
      <c r="C455" s="38" t="s">
        <v>866</v>
      </c>
      <c r="D455" s="37" t="s">
        <v>71</v>
      </c>
      <c r="E455" s="39">
        <v>0</v>
      </c>
      <c r="F455" s="41">
        <v>111300</v>
      </c>
      <c r="G455" s="12"/>
      <c r="H455" s="12">
        <f t="shared" si="19"/>
        <v>0</v>
      </c>
      <c r="I455" s="12">
        <f t="shared" si="20"/>
        <v>0</v>
      </c>
      <c r="J455" s="12">
        <f t="shared" si="21"/>
        <v>0</v>
      </c>
      <c r="K455" s="14"/>
    </row>
    <row r="456" spans="1:11" ht="29" x14ac:dyDescent="0.3">
      <c r="A456" s="37">
        <v>448</v>
      </c>
      <c r="B456" s="40" t="s">
        <v>870</v>
      </c>
      <c r="C456" s="38" t="s">
        <v>869</v>
      </c>
      <c r="D456" s="37" t="s">
        <v>71</v>
      </c>
      <c r="E456" s="41">
        <v>1342300</v>
      </c>
      <c r="F456" s="39">
        <v>0</v>
      </c>
      <c r="G456" s="12"/>
      <c r="H456" s="12">
        <f t="shared" si="19"/>
        <v>0</v>
      </c>
      <c r="I456" s="12">
        <f t="shared" si="20"/>
        <v>0</v>
      </c>
      <c r="J456" s="12">
        <f t="shared" si="21"/>
        <v>0</v>
      </c>
      <c r="K456" s="14"/>
    </row>
    <row r="457" spans="1:11" ht="29" x14ac:dyDescent="0.3">
      <c r="A457" s="37">
        <v>449</v>
      </c>
      <c r="B457" s="37" t="s">
        <v>871</v>
      </c>
      <c r="C457" s="38" t="s">
        <v>869</v>
      </c>
      <c r="D457" s="37" t="s">
        <v>71</v>
      </c>
      <c r="E457" s="39">
        <v>0</v>
      </c>
      <c r="F457" s="39">
        <v>94800</v>
      </c>
      <c r="G457" s="12"/>
      <c r="H457" s="12">
        <f t="shared" si="19"/>
        <v>0</v>
      </c>
      <c r="I457" s="12">
        <f t="shared" si="20"/>
        <v>0</v>
      </c>
      <c r="J457" s="12">
        <f t="shared" si="21"/>
        <v>0</v>
      </c>
      <c r="K457" s="14"/>
    </row>
    <row r="458" spans="1:11" ht="14.5" x14ac:dyDescent="0.3">
      <c r="A458" s="37">
        <v>450</v>
      </c>
      <c r="B458" s="40" t="s">
        <v>1070</v>
      </c>
      <c r="C458" s="38" t="s">
        <v>1069</v>
      </c>
      <c r="D458" s="37" t="s">
        <v>16</v>
      </c>
      <c r="E458" s="39">
        <v>0</v>
      </c>
      <c r="F458" s="41">
        <v>9950</v>
      </c>
      <c r="G458" s="12"/>
      <c r="H458" s="12">
        <f t="shared" ref="H458:H521" si="22">E458*G458</f>
        <v>0</v>
      </c>
      <c r="I458" s="12">
        <f t="shared" ref="I458:I521" si="23">F458*G458</f>
        <v>0</v>
      </c>
      <c r="J458" s="12">
        <f t="shared" ref="J458:J521" si="24">SUM(H458:I458)</f>
        <v>0</v>
      </c>
      <c r="K458" s="14"/>
    </row>
    <row r="459" spans="1:11" ht="87" x14ac:dyDescent="0.3">
      <c r="A459" s="37">
        <v>451</v>
      </c>
      <c r="B459" s="40" t="s">
        <v>896</v>
      </c>
      <c r="C459" s="38" t="s">
        <v>895</v>
      </c>
      <c r="D459" s="37" t="s">
        <v>712</v>
      </c>
      <c r="E459" s="41">
        <v>16275</v>
      </c>
      <c r="F459" s="39">
        <v>0</v>
      </c>
      <c r="G459" s="12"/>
      <c r="H459" s="12">
        <f t="shared" si="22"/>
        <v>0</v>
      </c>
      <c r="I459" s="12">
        <f t="shared" si="23"/>
        <v>0</v>
      </c>
      <c r="J459" s="12">
        <f t="shared" si="24"/>
        <v>0</v>
      </c>
      <c r="K459" s="14"/>
    </row>
    <row r="460" spans="1:11" ht="87" x14ac:dyDescent="0.3">
      <c r="A460" s="37">
        <v>452</v>
      </c>
      <c r="B460" s="37" t="s">
        <v>897</v>
      </c>
      <c r="C460" s="38" t="s">
        <v>895</v>
      </c>
      <c r="D460" s="37" t="s">
        <v>712</v>
      </c>
      <c r="E460" s="39">
        <v>0</v>
      </c>
      <c r="F460" s="39">
        <v>3604</v>
      </c>
      <c r="G460" s="12"/>
      <c r="H460" s="12">
        <f t="shared" si="22"/>
        <v>0</v>
      </c>
      <c r="I460" s="12">
        <f t="shared" si="23"/>
        <v>0</v>
      </c>
      <c r="J460" s="12">
        <f t="shared" si="24"/>
        <v>0</v>
      </c>
      <c r="K460" s="14"/>
    </row>
    <row r="461" spans="1:11" ht="14.5" x14ac:dyDescent="0.3">
      <c r="A461" s="37">
        <v>453</v>
      </c>
      <c r="B461" s="40" t="s">
        <v>824</v>
      </c>
      <c r="C461" s="38" t="s">
        <v>823</v>
      </c>
      <c r="D461" s="37" t="s">
        <v>16</v>
      </c>
      <c r="E461" s="39">
        <v>254230</v>
      </c>
      <c r="F461" s="41">
        <v>0</v>
      </c>
      <c r="G461" s="12"/>
      <c r="H461" s="12">
        <f t="shared" si="22"/>
        <v>0</v>
      </c>
      <c r="I461" s="12">
        <f t="shared" si="23"/>
        <v>0</v>
      </c>
      <c r="J461" s="12">
        <f t="shared" si="24"/>
        <v>0</v>
      </c>
      <c r="K461" s="14"/>
    </row>
    <row r="462" spans="1:11" ht="14.5" x14ac:dyDescent="0.3">
      <c r="A462" s="37">
        <v>454</v>
      </c>
      <c r="B462" s="40" t="s">
        <v>825</v>
      </c>
      <c r="C462" s="38" t="s">
        <v>823</v>
      </c>
      <c r="D462" s="37" t="s">
        <v>16</v>
      </c>
      <c r="E462" s="41">
        <v>0</v>
      </c>
      <c r="F462" s="39">
        <v>21540</v>
      </c>
      <c r="G462" s="12"/>
      <c r="H462" s="12">
        <f t="shared" si="22"/>
        <v>0</v>
      </c>
      <c r="I462" s="12">
        <f t="shared" si="23"/>
        <v>0</v>
      </c>
      <c r="J462" s="12">
        <f t="shared" si="24"/>
        <v>0</v>
      </c>
      <c r="K462" s="14"/>
    </row>
    <row r="463" spans="1:11" ht="58" x14ac:dyDescent="0.3">
      <c r="A463" s="37">
        <v>455</v>
      </c>
      <c r="B463" s="37" t="s">
        <v>251</v>
      </c>
      <c r="C463" s="38" t="s">
        <v>250</v>
      </c>
      <c r="D463" s="37" t="s">
        <v>13</v>
      </c>
      <c r="E463" s="39">
        <v>12178950</v>
      </c>
      <c r="F463" s="39">
        <v>0</v>
      </c>
      <c r="G463" s="12"/>
      <c r="H463" s="12">
        <f t="shared" si="22"/>
        <v>0</v>
      </c>
      <c r="I463" s="12">
        <f t="shared" si="23"/>
        <v>0</v>
      </c>
      <c r="J463" s="12">
        <f t="shared" si="24"/>
        <v>0</v>
      </c>
      <c r="K463" s="14"/>
    </row>
    <row r="464" spans="1:11" ht="58" x14ac:dyDescent="0.3">
      <c r="A464" s="37">
        <v>456</v>
      </c>
      <c r="B464" s="40" t="s">
        <v>252</v>
      </c>
      <c r="C464" s="38" t="s">
        <v>250</v>
      </c>
      <c r="D464" s="37" t="s">
        <v>13</v>
      </c>
      <c r="E464" s="39">
        <v>0</v>
      </c>
      <c r="F464" s="41">
        <v>5073962</v>
      </c>
      <c r="G464" s="12"/>
      <c r="H464" s="12">
        <f t="shared" si="22"/>
        <v>0</v>
      </c>
      <c r="I464" s="12">
        <f t="shared" si="23"/>
        <v>0</v>
      </c>
      <c r="J464" s="12">
        <f t="shared" si="24"/>
        <v>0</v>
      </c>
      <c r="K464" s="14"/>
    </row>
    <row r="465" spans="1:11" ht="101.5" x14ac:dyDescent="0.3">
      <c r="A465" s="37">
        <v>457</v>
      </c>
      <c r="B465" s="40" t="s">
        <v>266</v>
      </c>
      <c r="C465" s="38" t="s">
        <v>265</v>
      </c>
      <c r="D465" s="37" t="s">
        <v>17</v>
      </c>
      <c r="E465" s="41">
        <v>30148512</v>
      </c>
      <c r="F465" s="39">
        <v>0</v>
      </c>
      <c r="G465" s="12"/>
      <c r="H465" s="12">
        <f t="shared" si="22"/>
        <v>0</v>
      </c>
      <c r="I465" s="12">
        <f t="shared" si="23"/>
        <v>0</v>
      </c>
      <c r="J465" s="12">
        <f t="shared" si="24"/>
        <v>0</v>
      </c>
      <c r="K465" s="14"/>
    </row>
    <row r="466" spans="1:11" ht="101.5" x14ac:dyDescent="0.3">
      <c r="A466" s="37">
        <v>458</v>
      </c>
      <c r="B466" s="37" t="s">
        <v>267</v>
      </c>
      <c r="C466" s="38" t="s">
        <v>265</v>
      </c>
      <c r="D466" s="37" t="s">
        <v>17</v>
      </c>
      <c r="E466" s="39">
        <v>0</v>
      </c>
      <c r="F466" s="39">
        <v>8238471</v>
      </c>
      <c r="G466" s="12"/>
      <c r="H466" s="12">
        <f t="shared" si="22"/>
        <v>0</v>
      </c>
      <c r="I466" s="12">
        <f t="shared" si="23"/>
        <v>0</v>
      </c>
      <c r="J466" s="12">
        <f t="shared" si="24"/>
        <v>0</v>
      </c>
      <c r="K466" s="14"/>
    </row>
    <row r="467" spans="1:11" ht="101.5" x14ac:dyDescent="0.3">
      <c r="A467" s="37">
        <v>459</v>
      </c>
      <c r="B467" s="40" t="s">
        <v>260</v>
      </c>
      <c r="C467" s="38" t="s">
        <v>259</v>
      </c>
      <c r="D467" s="37" t="s">
        <v>17</v>
      </c>
      <c r="E467" s="39">
        <v>20320537</v>
      </c>
      <c r="F467" s="41">
        <v>0</v>
      </c>
      <c r="G467" s="12"/>
      <c r="H467" s="12">
        <f t="shared" si="22"/>
        <v>0</v>
      </c>
      <c r="I467" s="12">
        <f t="shared" si="23"/>
        <v>0</v>
      </c>
      <c r="J467" s="12">
        <f t="shared" si="24"/>
        <v>0</v>
      </c>
      <c r="K467" s="14"/>
    </row>
    <row r="468" spans="1:11" ht="101.5" x14ac:dyDescent="0.3">
      <c r="A468" s="37">
        <v>460</v>
      </c>
      <c r="B468" s="40" t="s">
        <v>261</v>
      </c>
      <c r="C468" s="38" t="s">
        <v>259</v>
      </c>
      <c r="D468" s="37" t="s">
        <v>17</v>
      </c>
      <c r="E468" s="41">
        <v>0</v>
      </c>
      <c r="F468" s="39">
        <v>7762405</v>
      </c>
      <c r="G468" s="12"/>
      <c r="H468" s="12">
        <f t="shared" si="22"/>
        <v>0</v>
      </c>
      <c r="I468" s="12">
        <f t="shared" si="23"/>
        <v>0</v>
      </c>
      <c r="J468" s="12">
        <f t="shared" si="24"/>
        <v>0</v>
      </c>
      <c r="K468" s="14"/>
    </row>
    <row r="469" spans="1:11" ht="58" x14ac:dyDescent="0.3">
      <c r="A469" s="37">
        <v>461</v>
      </c>
      <c r="B469" s="37" t="s">
        <v>254</v>
      </c>
      <c r="C469" s="38" t="s">
        <v>253</v>
      </c>
      <c r="D469" s="37" t="s">
        <v>13</v>
      </c>
      <c r="E469" s="39">
        <v>22985353</v>
      </c>
      <c r="F469" s="39">
        <v>0</v>
      </c>
      <c r="G469" s="12"/>
      <c r="H469" s="12">
        <f t="shared" si="22"/>
        <v>0</v>
      </c>
      <c r="I469" s="12">
        <f t="shared" si="23"/>
        <v>0</v>
      </c>
      <c r="J469" s="12">
        <f t="shared" si="24"/>
        <v>0</v>
      </c>
      <c r="K469" s="14"/>
    </row>
    <row r="470" spans="1:11" ht="58" x14ac:dyDescent="0.3">
      <c r="A470" s="37">
        <v>462</v>
      </c>
      <c r="B470" s="40" t="s">
        <v>255</v>
      </c>
      <c r="C470" s="38" t="s">
        <v>253</v>
      </c>
      <c r="D470" s="37" t="s">
        <v>13</v>
      </c>
      <c r="E470" s="39">
        <v>0</v>
      </c>
      <c r="F470" s="41">
        <v>5112251</v>
      </c>
      <c r="G470" s="12"/>
      <c r="H470" s="12">
        <f t="shared" si="22"/>
        <v>0</v>
      </c>
      <c r="I470" s="12">
        <f t="shared" si="23"/>
        <v>0</v>
      </c>
      <c r="J470" s="12">
        <f t="shared" si="24"/>
        <v>0</v>
      </c>
      <c r="K470" s="14"/>
    </row>
    <row r="471" spans="1:11" ht="101.5" x14ac:dyDescent="0.3">
      <c r="A471" s="37">
        <v>463</v>
      </c>
      <c r="B471" s="40" t="s">
        <v>269</v>
      </c>
      <c r="C471" s="38" t="s">
        <v>268</v>
      </c>
      <c r="D471" s="37" t="s">
        <v>17</v>
      </c>
      <c r="E471" s="41">
        <v>40954915</v>
      </c>
      <c r="F471" s="39">
        <v>0</v>
      </c>
      <c r="G471" s="12"/>
      <c r="H471" s="12">
        <f t="shared" si="22"/>
        <v>0</v>
      </c>
      <c r="I471" s="12">
        <f t="shared" si="23"/>
        <v>0</v>
      </c>
      <c r="J471" s="12">
        <f t="shared" si="24"/>
        <v>0</v>
      </c>
      <c r="K471" s="14"/>
    </row>
    <row r="472" spans="1:11" ht="101.5" x14ac:dyDescent="0.3">
      <c r="A472" s="37">
        <v>464</v>
      </c>
      <c r="B472" s="37" t="s">
        <v>270</v>
      </c>
      <c r="C472" s="38" t="s">
        <v>268</v>
      </c>
      <c r="D472" s="37" t="s">
        <v>17</v>
      </c>
      <c r="E472" s="39">
        <v>0</v>
      </c>
      <c r="F472" s="39">
        <v>8276760</v>
      </c>
      <c r="G472" s="12"/>
      <c r="H472" s="12">
        <f t="shared" si="22"/>
        <v>0</v>
      </c>
      <c r="I472" s="12">
        <f t="shared" si="23"/>
        <v>0</v>
      </c>
      <c r="J472" s="12">
        <f t="shared" si="24"/>
        <v>0</v>
      </c>
      <c r="K472" s="14"/>
    </row>
    <row r="473" spans="1:11" ht="101.5" x14ac:dyDescent="0.3">
      <c r="A473" s="37">
        <v>465</v>
      </c>
      <c r="B473" s="40" t="s">
        <v>263</v>
      </c>
      <c r="C473" s="38" t="s">
        <v>262</v>
      </c>
      <c r="D473" s="37" t="s">
        <v>17</v>
      </c>
      <c r="E473" s="39">
        <v>31126940</v>
      </c>
      <c r="F473" s="41">
        <v>0</v>
      </c>
      <c r="G473" s="12"/>
      <c r="H473" s="12">
        <f t="shared" si="22"/>
        <v>0</v>
      </c>
      <c r="I473" s="12">
        <f t="shared" si="23"/>
        <v>0</v>
      </c>
      <c r="J473" s="12">
        <f t="shared" si="24"/>
        <v>0</v>
      </c>
      <c r="K473" s="14"/>
    </row>
    <row r="474" spans="1:11" ht="101.5" x14ac:dyDescent="0.3">
      <c r="A474" s="37">
        <v>466</v>
      </c>
      <c r="B474" s="40" t="s">
        <v>264</v>
      </c>
      <c r="C474" s="38" t="s">
        <v>262</v>
      </c>
      <c r="D474" s="37" t="s">
        <v>17</v>
      </c>
      <c r="E474" s="41">
        <v>0</v>
      </c>
      <c r="F474" s="39">
        <v>7800693</v>
      </c>
      <c r="G474" s="12"/>
      <c r="H474" s="12">
        <f t="shared" si="22"/>
        <v>0</v>
      </c>
      <c r="I474" s="12">
        <f t="shared" si="23"/>
        <v>0</v>
      </c>
      <c r="J474" s="12">
        <f t="shared" si="24"/>
        <v>0</v>
      </c>
      <c r="K474" s="14"/>
    </row>
    <row r="475" spans="1:11" ht="43.5" x14ac:dyDescent="0.3">
      <c r="A475" s="37">
        <v>467</v>
      </c>
      <c r="B475" s="37" t="s">
        <v>245</v>
      </c>
      <c r="C475" s="38" t="s">
        <v>244</v>
      </c>
      <c r="D475" s="37" t="s">
        <v>13</v>
      </c>
      <c r="E475" s="39">
        <v>4362528</v>
      </c>
      <c r="F475" s="39">
        <v>0</v>
      </c>
      <c r="G475" s="12"/>
      <c r="H475" s="12">
        <f t="shared" si="22"/>
        <v>0</v>
      </c>
      <c r="I475" s="12">
        <f t="shared" si="23"/>
        <v>0</v>
      </c>
      <c r="J475" s="12">
        <f t="shared" si="24"/>
        <v>0</v>
      </c>
      <c r="K475" s="14"/>
    </row>
    <row r="476" spans="1:11" ht="43.5" x14ac:dyDescent="0.3">
      <c r="A476" s="37">
        <v>468</v>
      </c>
      <c r="B476" s="40" t="s">
        <v>246</v>
      </c>
      <c r="C476" s="38" t="s">
        <v>244</v>
      </c>
      <c r="D476" s="37" t="s">
        <v>13</v>
      </c>
      <c r="E476" s="39">
        <v>0</v>
      </c>
      <c r="F476" s="41">
        <v>3754981</v>
      </c>
      <c r="G476" s="12"/>
      <c r="H476" s="12">
        <f t="shared" si="22"/>
        <v>0</v>
      </c>
      <c r="I476" s="12">
        <f t="shared" si="23"/>
        <v>0</v>
      </c>
      <c r="J476" s="12">
        <f t="shared" si="24"/>
        <v>0</v>
      </c>
      <c r="K476" s="14"/>
    </row>
    <row r="477" spans="1:11" ht="58" x14ac:dyDescent="0.3">
      <c r="A477" s="37">
        <v>469</v>
      </c>
      <c r="B477" s="40" t="s">
        <v>257</v>
      </c>
      <c r="C477" s="38" t="s">
        <v>256</v>
      </c>
      <c r="D477" s="37" t="s">
        <v>13</v>
      </c>
      <c r="E477" s="41">
        <v>54639153</v>
      </c>
      <c r="F477" s="39">
        <v>0</v>
      </c>
      <c r="G477" s="12"/>
      <c r="H477" s="12">
        <f t="shared" si="22"/>
        <v>0</v>
      </c>
      <c r="I477" s="12">
        <f t="shared" si="23"/>
        <v>0</v>
      </c>
      <c r="J477" s="12">
        <f t="shared" si="24"/>
        <v>0</v>
      </c>
      <c r="K477" s="14"/>
    </row>
    <row r="478" spans="1:11" ht="58" x14ac:dyDescent="0.3">
      <c r="A478" s="37">
        <v>470</v>
      </c>
      <c r="B478" s="37" t="s">
        <v>258</v>
      </c>
      <c r="C478" s="38" t="s">
        <v>256</v>
      </c>
      <c r="D478" s="37" t="s">
        <v>13</v>
      </c>
      <c r="E478" s="39">
        <v>0</v>
      </c>
      <c r="F478" s="39">
        <v>5072168</v>
      </c>
      <c r="G478" s="12"/>
      <c r="H478" s="12">
        <f t="shared" si="22"/>
        <v>0</v>
      </c>
      <c r="I478" s="12">
        <f t="shared" si="23"/>
        <v>0</v>
      </c>
      <c r="J478" s="12">
        <f t="shared" si="24"/>
        <v>0</v>
      </c>
      <c r="K478" s="14"/>
    </row>
    <row r="479" spans="1:11" ht="58" x14ac:dyDescent="0.3">
      <c r="A479" s="37">
        <v>471</v>
      </c>
      <c r="B479" s="40" t="s">
        <v>248</v>
      </c>
      <c r="C479" s="38" t="s">
        <v>247</v>
      </c>
      <c r="D479" s="37" t="s">
        <v>13</v>
      </c>
      <c r="E479" s="39">
        <v>9099000</v>
      </c>
      <c r="F479" s="41">
        <v>0</v>
      </c>
      <c r="G479" s="12"/>
      <c r="H479" s="12">
        <f t="shared" si="22"/>
        <v>0</v>
      </c>
      <c r="I479" s="12">
        <f t="shared" si="23"/>
        <v>0</v>
      </c>
      <c r="J479" s="12">
        <f t="shared" si="24"/>
        <v>0</v>
      </c>
      <c r="K479" s="14"/>
    </row>
    <row r="480" spans="1:11" ht="58" x14ac:dyDescent="0.3">
      <c r="A480" s="37">
        <v>472</v>
      </c>
      <c r="B480" s="40" t="s">
        <v>249</v>
      </c>
      <c r="C480" s="38" t="s">
        <v>247</v>
      </c>
      <c r="D480" s="37" t="s">
        <v>13</v>
      </c>
      <c r="E480" s="41">
        <v>0</v>
      </c>
      <c r="F480" s="39">
        <v>4699000</v>
      </c>
      <c r="G480" s="12"/>
      <c r="H480" s="12">
        <f t="shared" si="22"/>
        <v>0</v>
      </c>
      <c r="I480" s="12">
        <f t="shared" si="23"/>
        <v>0</v>
      </c>
      <c r="J480" s="12">
        <f t="shared" si="24"/>
        <v>0</v>
      </c>
      <c r="K480" s="14"/>
    </row>
    <row r="481" spans="1:11" ht="14.5" x14ac:dyDescent="0.3">
      <c r="A481" s="37">
        <v>473</v>
      </c>
      <c r="B481" s="37" t="s">
        <v>830</v>
      </c>
      <c r="C481" s="38" t="s">
        <v>829</v>
      </c>
      <c r="D481" s="37" t="s">
        <v>82</v>
      </c>
      <c r="E481" s="39">
        <v>77000</v>
      </c>
      <c r="F481" s="39">
        <v>0</v>
      </c>
      <c r="G481" s="12"/>
      <c r="H481" s="12">
        <f t="shared" si="22"/>
        <v>0</v>
      </c>
      <c r="I481" s="12">
        <f t="shared" si="23"/>
        <v>0</v>
      </c>
      <c r="J481" s="12">
        <f t="shared" si="24"/>
        <v>0</v>
      </c>
      <c r="K481" s="14"/>
    </row>
    <row r="482" spans="1:11" ht="14.5" x14ac:dyDescent="0.3">
      <c r="A482" s="37">
        <v>474</v>
      </c>
      <c r="B482" s="40" t="s">
        <v>831</v>
      </c>
      <c r="C482" s="38" t="s">
        <v>829</v>
      </c>
      <c r="D482" s="37" t="s">
        <v>82</v>
      </c>
      <c r="E482" s="39">
        <v>0</v>
      </c>
      <c r="F482" s="41">
        <v>27500</v>
      </c>
      <c r="G482" s="12"/>
      <c r="H482" s="12">
        <f t="shared" si="22"/>
        <v>0</v>
      </c>
      <c r="I482" s="12">
        <f t="shared" si="23"/>
        <v>0</v>
      </c>
      <c r="J482" s="12">
        <f t="shared" si="24"/>
        <v>0</v>
      </c>
      <c r="K482" s="14"/>
    </row>
    <row r="483" spans="1:11" ht="14.5" x14ac:dyDescent="0.3">
      <c r="A483" s="37">
        <v>475</v>
      </c>
      <c r="B483" s="40" t="s">
        <v>827</v>
      </c>
      <c r="C483" s="38" t="s">
        <v>826</v>
      </c>
      <c r="D483" s="37" t="s">
        <v>82</v>
      </c>
      <c r="E483" s="41">
        <v>300000</v>
      </c>
      <c r="F483" s="39">
        <v>0</v>
      </c>
      <c r="G483" s="12"/>
      <c r="H483" s="12">
        <f t="shared" si="22"/>
        <v>0</v>
      </c>
      <c r="I483" s="12">
        <f t="shared" si="23"/>
        <v>0</v>
      </c>
      <c r="J483" s="12">
        <f t="shared" si="24"/>
        <v>0</v>
      </c>
      <c r="K483" s="14"/>
    </row>
    <row r="484" spans="1:11" ht="14.5" x14ac:dyDescent="0.3">
      <c r="A484" s="37">
        <v>476</v>
      </c>
      <c r="B484" s="37" t="s">
        <v>828</v>
      </c>
      <c r="C484" s="38" t="s">
        <v>826</v>
      </c>
      <c r="D484" s="37" t="s">
        <v>82</v>
      </c>
      <c r="E484" s="39">
        <v>0</v>
      </c>
      <c r="F484" s="39">
        <v>27500</v>
      </c>
      <c r="G484" s="12"/>
      <c r="H484" s="12">
        <f t="shared" si="22"/>
        <v>0</v>
      </c>
      <c r="I484" s="12">
        <f t="shared" si="23"/>
        <v>0</v>
      </c>
      <c r="J484" s="12">
        <f t="shared" si="24"/>
        <v>0</v>
      </c>
      <c r="K484" s="14"/>
    </row>
    <row r="485" spans="1:11" ht="14.5" x14ac:dyDescent="0.3">
      <c r="A485" s="37">
        <v>477</v>
      </c>
      <c r="B485" s="40" t="s">
        <v>1007</v>
      </c>
      <c r="C485" s="38" t="s">
        <v>991</v>
      </c>
      <c r="D485" s="37" t="s">
        <v>25</v>
      </c>
      <c r="E485" s="39">
        <v>0</v>
      </c>
      <c r="F485" s="41">
        <v>36470</v>
      </c>
      <c r="G485" s="12"/>
      <c r="H485" s="12">
        <f t="shared" si="22"/>
        <v>0</v>
      </c>
      <c r="I485" s="12">
        <f t="shared" si="23"/>
        <v>0</v>
      </c>
      <c r="J485" s="12">
        <f t="shared" si="24"/>
        <v>0</v>
      </c>
      <c r="K485" s="14"/>
    </row>
    <row r="486" spans="1:11" ht="14.5" x14ac:dyDescent="0.3">
      <c r="A486" s="37">
        <v>478</v>
      </c>
      <c r="B486" s="40" t="s">
        <v>1005</v>
      </c>
      <c r="C486" s="38" t="s">
        <v>986</v>
      </c>
      <c r="D486" s="37" t="s">
        <v>987</v>
      </c>
      <c r="E486" s="41">
        <v>0</v>
      </c>
      <c r="F486" s="39">
        <v>2270</v>
      </c>
      <c r="G486" s="12"/>
      <c r="H486" s="12">
        <f t="shared" si="22"/>
        <v>0</v>
      </c>
      <c r="I486" s="12">
        <f t="shared" si="23"/>
        <v>0</v>
      </c>
      <c r="J486" s="12">
        <f t="shared" si="24"/>
        <v>0</v>
      </c>
      <c r="K486" s="14"/>
    </row>
    <row r="487" spans="1:11" ht="14.5" x14ac:dyDescent="0.3">
      <c r="A487" s="37">
        <v>479</v>
      </c>
      <c r="B487" s="37" t="s">
        <v>1004</v>
      </c>
      <c r="C487" s="38" t="s">
        <v>961</v>
      </c>
      <c r="D487" s="37" t="s">
        <v>16</v>
      </c>
      <c r="E487" s="39">
        <v>0</v>
      </c>
      <c r="F487" s="39">
        <v>9950</v>
      </c>
      <c r="G487" s="12"/>
      <c r="H487" s="12">
        <f t="shared" si="22"/>
        <v>0</v>
      </c>
      <c r="I487" s="12">
        <f t="shared" si="23"/>
        <v>0</v>
      </c>
      <c r="J487" s="12">
        <f t="shared" si="24"/>
        <v>0</v>
      </c>
      <c r="K487" s="14"/>
    </row>
    <row r="488" spans="1:11" ht="14.5" x14ac:dyDescent="0.3">
      <c r="A488" s="37">
        <v>480</v>
      </c>
      <c r="B488" s="40" t="s">
        <v>1006</v>
      </c>
      <c r="C488" s="38" t="s">
        <v>989</v>
      </c>
      <c r="D488" s="37" t="s">
        <v>987</v>
      </c>
      <c r="E488" s="39">
        <v>0</v>
      </c>
      <c r="F488" s="41">
        <v>14600</v>
      </c>
      <c r="G488" s="12"/>
      <c r="H488" s="12">
        <f t="shared" si="22"/>
        <v>0</v>
      </c>
      <c r="I488" s="12">
        <f t="shared" si="23"/>
        <v>0</v>
      </c>
      <c r="J488" s="12">
        <f t="shared" si="24"/>
        <v>0</v>
      </c>
      <c r="K488" s="14"/>
    </row>
    <row r="489" spans="1:11" ht="29" x14ac:dyDescent="0.3">
      <c r="A489" s="37">
        <v>481</v>
      </c>
      <c r="B489" s="40" t="s">
        <v>839</v>
      </c>
      <c r="C489" s="38" t="s">
        <v>838</v>
      </c>
      <c r="D489" s="37" t="s">
        <v>13</v>
      </c>
      <c r="E489" s="41">
        <v>5500</v>
      </c>
      <c r="F489" s="39">
        <v>0</v>
      </c>
      <c r="G489" s="12"/>
      <c r="H489" s="12">
        <f t="shared" si="22"/>
        <v>0</v>
      </c>
      <c r="I489" s="12">
        <f t="shared" si="23"/>
        <v>0</v>
      </c>
      <c r="J489" s="12">
        <f t="shared" si="24"/>
        <v>0</v>
      </c>
      <c r="K489" s="14"/>
    </row>
    <row r="490" spans="1:11" ht="29" x14ac:dyDescent="0.3">
      <c r="A490" s="37">
        <v>482</v>
      </c>
      <c r="B490" s="37" t="s">
        <v>840</v>
      </c>
      <c r="C490" s="38" t="s">
        <v>838</v>
      </c>
      <c r="D490" s="37" t="s">
        <v>13</v>
      </c>
      <c r="E490" s="39">
        <v>0</v>
      </c>
      <c r="F490" s="39">
        <v>1240</v>
      </c>
      <c r="G490" s="12"/>
      <c r="H490" s="12">
        <f t="shared" si="22"/>
        <v>0</v>
      </c>
      <c r="I490" s="12">
        <f t="shared" si="23"/>
        <v>0</v>
      </c>
      <c r="J490" s="12">
        <f t="shared" si="24"/>
        <v>0</v>
      </c>
      <c r="K490" s="14"/>
    </row>
    <row r="491" spans="1:11" ht="43.5" x14ac:dyDescent="0.3">
      <c r="A491" s="37">
        <v>483</v>
      </c>
      <c r="B491" s="40" t="s">
        <v>833</v>
      </c>
      <c r="C491" s="38" t="s">
        <v>832</v>
      </c>
      <c r="D491" s="37" t="s">
        <v>71</v>
      </c>
      <c r="E491" s="39">
        <v>130000</v>
      </c>
      <c r="F491" s="41">
        <v>0</v>
      </c>
      <c r="G491" s="12"/>
      <c r="H491" s="12">
        <f t="shared" si="22"/>
        <v>0</v>
      </c>
      <c r="I491" s="12">
        <f t="shared" si="23"/>
        <v>0</v>
      </c>
      <c r="J491" s="12">
        <f t="shared" si="24"/>
        <v>0</v>
      </c>
      <c r="K491" s="14"/>
    </row>
    <row r="492" spans="1:11" ht="43.5" x14ac:dyDescent="0.3">
      <c r="A492" s="37">
        <v>484</v>
      </c>
      <c r="B492" s="40" t="s">
        <v>834</v>
      </c>
      <c r="C492" s="38" t="s">
        <v>832</v>
      </c>
      <c r="D492" s="37" t="s">
        <v>71</v>
      </c>
      <c r="E492" s="41">
        <v>0</v>
      </c>
      <c r="F492" s="39">
        <v>58000</v>
      </c>
      <c r="G492" s="12"/>
      <c r="H492" s="12">
        <f t="shared" si="22"/>
        <v>0</v>
      </c>
      <c r="I492" s="12">
        <f t="shared" si="23"/>
        <v>0</v>
      </c>
      <c r="J492" s="12">
        <f t="shared" si="24"/>
        <v>0</v>
      </c>
      <c r="K492" s="14"/>
    </row>
    <row r="493" spans="1:11" ht="43.5" x14ac:dyDescent="0.3">
      <c r="A493" s="37">
        <v>485</v>
      </c>
      <c r="B493" s="37" t="s">
        <v>836</v>
      </c>
      <c r="C493" s="38" t="s">
        <v>835</v>
      </c>
      <c r="D493" s="37" t="s">
        <v>71</v>
      </c>
      <c r="E493" s="39">
        <v>200000</v>
      </c>
      <c r="F493" s="39">
        <v>0</v>
      </c>
      <c r="G493" s="12"/>
      <c r="H493" s="12">
        <f t="shared" si="22"/>
        <v>0</v>
      </c>
      <c r="I493" s="12">
        <f t="shared" si="23"/>
        <v>0</v>
      </c>
      <c r="J493" s="12">
        <f t="shared" si="24"/>
        <v>0</v>
      </c>
      <c r="K493" s="14"/>
    </row>
    <row r="494" spans="1:11" ht="43.5" x14ac:dyDescent="0.3">
      <c r="A494" s="37">
        <v>486</v>
      </c>
      <c r="B494" s="40" t="s">
        <v>837</v>
      </c>
      <c r="C494" s="38" t="s">
        <v>835</v>
      </c>
      <c r="D494" s="37" t="s">
        <v>71</v>
      </c>
      <c r="E494" s="39">
        <v>0</v>
      </c>
      <c r="F494" s="41">
        <v>58000</v>
      </c>
      <c r="G494" s="12"/>
      <c r="H494" s="12">
        <f t="shared" si="22"/>
        <v>0</v>
      </c>
      <c r="I494" s="12">
        <f t="shared" si="23"/>
        <v>0</v>
      </c>
      <c r="J494" s="12">
        <f t="shared" si="24"/>
        <v>0</v>
      </c>
      <c r="K494" s="14"/>
    </row>
    <row r="495" spans="1:11" ht="14.5" x14ac:dyDescent="0.3">
      <c r="A495" s="37">
        <v>487</v>
      </c>
      <c r="B495" s="40" t="s">
        <v>1010</v>
      </c>
      <c r="C495" s="38" t="s">
        <v>995</v>
      </c>
      <c r="D495" s="37" t="s">
        <v>13</v>
      </c>
      <c r="E495" s="41">
        <v>0</v>
      </c>
      <c r="F495" s="39">
        <v>2490</v>
      </c>
      <c r="G495" s="12"/>
      <c r="H495" s="12">
        <f t="shared" si="22"/>
        <v>0</v>
      </c>
      <c r="I495" s="12">
        <f t="shared" si="23"/>
        <v>0</v>
      </c>
      <c r="J495" s="12">
        <f t="shared" si="24"/>
        <v>0</v>
      </c>
      <c r="K495" s="14"/>
    </row>
    <row r="496" spans="1:11" ht="14.5" x14ac:dyDescent="0.3">
      <c r="A496" s="37">
        <v>488</v>
      </c>
      <c r="B496" s="37" t="s">
        <v>1016</v>
      </c>
      <c r="C496" s="38" t="s">
        <v>1015</v>
      </c>
      <c r="D496" s="37" t="s">
        <v>911</v>
      </c>
      <c r="E496" s="39">
        <v>0</v>
      </c>
      <c r="F496" s="39">
        <v>3400000</v>
      </c>
      <c r="G496" s="12"/>
      <c r="H496" s="12">
        <f t="shared" si="22"/>
        <v>0</v>
      </c>
      <c r="I496" s="12">
        <f t="shared" si="23"/>
        <v>0</v>
      </c>
      <c r="J496" s="12">
        <f t="shared" si="24"/>
        <v>0</v>
      </c>
      <c r="K496" s="14"/>
    </row>
    <row r="497" spans="1:11" ht="43.5" x14ac:dyDescent="0.3">
      <c r="A497" s="37">
        <v>489</v>
      </c>
      <c r="B497" s="40" t="s">
        <v>272</v>
      </c>
      <c r="C497" s="38" t="s">
        <v>271</v>
      </c>
      <c r="D497" s="37" t="s">
        <v>15</v>
      </c>
      <c r="E497" s="39">
        <v>1750000</v>
      </c>
      <c r="F497" s="41">
        <v>0</v>
      </c>
      <c r="G497" s="12"/>
      <c r="H497" s="12">
        <f t="shared" si="22"/>
        <v>0</v>
      </c>
      <c r="I497" s="12">
        <f t="shared" si="23"/>
        <v>0</v>
      </c>
      <c r="J497" s="12">
        <f t="shared" si="24"/>
        <v>0</v>
      </c>
      <c r="K497" s="14"/>
    </row>
    <row r="498" spans="1:11" ht="43.5" x14ac:dyDescent="0.3">
      <c r="A498" s="37">
        <v>490</v>
      </c>
      <c r="B498" s="40" t="s">
        <v>273</v>
      </c>
      <c r="C498" s="38" t="s">
        <v>271</v>
      </c>
      <c r="D498" s="37" t="s">
        <v>15</v>
      </c>
      <c r="E498" s="41">
        <v>0</v>
      </c>
      <c r="F498" s="39">
        <v>700000</v>
      </c>
      <c r="G498" s="12"/>
      <c r="H498" s="12">
        <f t="shared" si="22"/>
        <v>0</v>
      </c>
      <c r="I498" s="12">
        <f t="shared" si="23"/>
        <v>0</v>
      </c>
      <c r="J498" s="12">
        <f t="shared" si="24"/>
        <v>0</v>
      </c>
      <c r="K498" s="14"/>
    </row>
    <row r="499" spans="1:11" ht="43.5" x14ac:dyDescent="0.3">
      <c r="A499" s="37">
        <v>491</v>
      </c>
      <c r="B499" s="37" t="s">
        <v>275</v>
      </c>
      <c r="C499" s="38" t="s">
        <v>274</v>
      </c>
      <c r="D499" s="37" t="s">
        <v>15</v>
      </c>
      <c r="E499" s="39">
        <v>1900000</v>
      </c>
      <c r="F499" s="39">
        <v>0</v>
      </c>
      <c r="G499" s="12"/>
      <c r="H499" s="12">
        <f t="shared" si="22"/>
        <v>0</v>
      </c>
      <c r="I499" s="12">
        <f t="shared" si="23"/>
        <v>0</v>
      </c>
      <c r="J499" s="12">
        <f t="shared" si="24"/>
        <v>0</v>
      </c>
      <c r="K499" s="14"/>
    </row>
    <row r="500" spans="1:11" ht="43.5" x14ac:dyDescent="0.3">
      <c r="A500" s="37">
        <v>492</v>
      </c>
      <c r="B500" s="40" t="s">
        <v>276</v>
      </c>
      <c r="C500" s="38" t="s">
        <v>274</v>
      </c>
      <c r="D500" s="37" t="s">
        <v>15</v>
      </c>
      <c r="E500" s="39">
        <v>0</v>
      </c>
      <c r="F500" s="41">
        <v>750000</v>
      </c>
      <c r="G500" s="12"/>
      <c r="H500" s="12">
        <f t="shared" si="22"/>
        <v>0</v>
      </c>
      <c r="I500" s="12">
        <f t="shared" si="23"/>
        <v>0</v>
      </c>
      <c r="J500" s="12">
        <f t="shared" si="24"/>
        <v>0</v>
      </c>
      <c r="K500" s="14"/>
    </row>
    <row r="501" spans="1:11" ht="14.5" x14ac:dyDescent="0.3">
      <c r="A501" s="37">
        <v>493</v>
      </c>
      <c r="B501" s="40" t="s">
        <v>1012</v>
      </c>
      <c r="C501" s="38" t="s">
        <v>1011</v>
      </c>
      <c r="D501" s="37" t="s">
        <v>71</v>
      </c>
      <c r="E501" s="41">
        <v>0</v>
      </c>
      <c r="F501" s="39">
        <v>2500000</v>
      </c>
      <c r="G501" s="12"/>
      <c r="H501" s="12">
        <f t="shared" si="22"/>
        <v>0</v>
      </c>
      <c r="I501" s="12">
        <f t="shared" si="23"/>
        <v>0</v>
      </c>
      <c r="J501" s="12">
        <f t="shared" si="24"/>
        <v>0</v>
      </c>
      <c r="K501" s="14"/>
    </row>
    <row r="502" spans="1:11" ht="14.5" x14ac:dyDescent="0.3">
      <c r="A502" s="37">
        <v>494</v>
      </c>
      <c r="B502" s="37" t="s">
        <v>1009</v>
      </c>
      <c r="C502" s="38" t="s">
        <v>1008</v>
      </c>
      <c r="D502" s="37" t="s">
        <v>71</v>
      </c>
      <c r="E502" s="39">
        <v>0</v>
      </c>
      <c r="F502" s="39">
        <v>10560</v>
      </c>
      <c r="G502" s="12"/>
      <c r="H502" s="12">
        <f t="shared" si="22"/>
        <v>0</v>
      </c>
      <c r="I502" s="12">
        <f t="shared" si="23"/>
        <v>0</v>
      </c>
      <c r="J502" s="12">
        <f t="shared" si="24"/>
        <v>0</v>
      </c>
      <c r="K502" s="14"/>
    </row>
    <row r="503" spans="1:11" ht="14.5" x14ac:dyDescent="0.3">
      <c r="A503" s="37">
        <v>495</v>
      </c>
      <c r="B503" s="40" t="s">
        <v>1014</v>
      </c>
      <c r="C503" s="38" t="s">
        <v>1013</v>
      </c>
      <c r="D503" s="37" t="s">
        <v>1000</v>
      </c>
      <c r="E503" s="39">
        <v>0</v>
      </c>
      <c r="F503" s="41">
        <v>9250</v>
      </c>
      <c r="G503" s="12"/>
      <c r="H503" s="12">
        <f t="shared" si="22"/>
        <v>0</v>
      </c>
      <c r="I503" s="12">
        <f t="shared" si="23"/>
        <v>0</v>
      </c>
      <c r="J503" s="12">
        <f t="shared" si="24"/>
        <v>0</v>
      </c>
      <c r="K503" s="14"/>
    </row>
    <row r="504" spans="1:11" ht="101.5" x14ac:dyDescent="0.3">
      <c r="A504" s="37">
        <v>496</v>
      </c>
      <c r="B504" s="40" t="s">
        <v>857</v>
      </c>
      <c r="C504" s="38" t="s">
        <v>856</v>
      </c>
      <c r="D504" s="37" t="s">
        <v>740</v>
      </c>
      <c r="E504" s="41">
        <v>817140</v>
      </c>
      <c r="F504" s="39">
        <v>0</v>
      </c>
      <c r="G504" s="12"/>
      <c r="H504" s="12">
        <f t="shared" si="22"/>
        <v>0</v>
      </c>
      <c r="I504" s="12">
        <f t="shared" si="23"/>
        <v>0</v>
      </c>
      <c r="J504" s="12">
        <f t="shared" si="24"/>
        <v>0</v>
      </c>
      <c r="K504" s="14"/>
    </row>
    <row r="505" spans="1:11" ht="101.5" x14ac:dyDescent="0.3">
      <c r="A505" s="37">
        <v>497</v>
      </c>
      <c r="B505" s="37" t="s">
        <v>858</v>
      </c>
      <c r="C505" s="38" t="s">
        <v>856</v>
      </c>
      <c r="D505" s="37" t="s">
        <v>740</v>
      </c>
      <c r="E505" s="39">
        <v>0</v>
      </c>
      <c r="F505" s="39">
        <v>141810</v>
      </c>
      <c r="G505" s="12"/>
      <c r="H505" s="12">
        <f t="shared" si="22"/>
        <v>0</v>
      </c>
      <c r="I505" s="12">
        <f t="shared" si="23"/>
        <v>0</v>
      </c>
      <c r="J505" s="12">
        <f t="shared" si="24"/>
        <v>0</v>
      </c>
      <c r="K505" s="14"/>
    </row>
    <row r="506" spans="1:11" ht="101.5" x14ac:dyDescent="0.3">
      <c r="A506" s="37">
        <v>498</v>
      </c>
      <c r="B506" s="40" t="s">
        <v>854</v>
      </c>
      <c r="C506" s="38" t="s">
        <v>853</v>
      </c>
      <c r="D506" s="37" t="s">
        <v>740</v>
      </c>
      <c r="E506" s="39">
        <v>600000</v>
      </c>
      <c r="F506" s="41">
        <v>0</v>
      </c>
      <c r="G506" s="12"/>
      <c r="H506" s="12">
        <f t="shared" si="22"/>
        <v>0</v>
      </c>
      <c r="I506" s="12">
        <f t="shared" si="23"/>
        <v>0</v>
      </c>
      <c r="J506" s="12">
        <f t="shared" si="24"/>
        <v>0</v>
      </c>
      <c r="K506" s="14"/>
    </row>
    <row r="507" spans="1:11" ht="101.5" x14ac:dyDescent="0.3">
      <c r="A507" s="37">
        <v>499</v>
      </c>
      <c r="B507" s="40" t="s">
        <v>855</v>
      </c>
      <c r="C507" s="38" t="s">
        <v>853</v>
      </c>
      <c r="D507" s="37" t="s">
        <v>740</v>
      </c>
      <c r="E507" s="41">
        <v>0</v>
      </c>
      <c r="F507" s="39">
        <v>145000</v>
      </c>
      <c r="G507" s="12"/>
      <c r="H507" s="12">
        <f t="shared" si="22"/>
        <v>0</v>
      </c>
      <c r="I507" s="12">
        <f t="shared" si="23"/>
        <v>0</v>
      </c>
      <c r="J507" s="12">
        <f t="shared" si="24"/>
        <v>0</v>
      </c>
      <c r="K507" s="14"/>
    </row>
    <row r="508" spans="1:11" ht="29" x14ac:dyDescent="0.3">
      <c r="A508" s="37">
        <v>500</v>
      </c>
      <c r="B508" s="37" t="s">
        <v>1024</v>
      </c>
      <c r="C508" s="38" t="s">
        <v>1023</v>
      </c>
      <c r="D508" s="37" t="s">
        <v>71</v>
      </c>
      <c r="E508" s="39">
        <v>0</v>
      </c>
      <c r="F508" s="39">
        <v>10560</v>
      </c>
      <c r="G508" s="12"/>
      <c r="H508" s="12">
        <f t="shared" si="22"/>
        <v>0</v>
      </c>
      <c r="I508" s="12">
        <f t="shared" si="23"/>
        <v>0</v>
      </c>
      <c r="J508" s="12">
        <f t="shared" si="24"/>
        <v>0</v>
      </c>
      <c r="K508" s="14"/>
    </row>
    <row r="509" spans="1:11" ht="14.5" x14ac:dyDescent="0.3">
      <c r="A509" s="37">
        <v>501</v>
      </c>
      <c r="B509" s="40" t="s">
        <v>1025</v>
      </c>
      <c r="C509" s="38" t="s">
        <v>973</v>
      </c>
      <c r="D509" s="37" t="s">
        <v>71</v>
      </c>
      <c r="E509" s="39">
        <v>0</v>
      </c>
      <c r="F509" s="41">
        <v>36470</v>
      </c>
      <c r="G509" s="12"/>
      <c r="H509" s="12">
        <f t="shared" si="22"/>
        <v>0</v>
      </c>
      <c r="I509" s="12">
        <f t="shared" si="23"/>
        <v>0</v>
      </c>
      <c r="J509" s="12">
        <f t="shared" si="24"/>
        <v>0</v>
      </c>
      <c r="K509" s="14"/>
    </row>
    <row r="510" spans="1:11" ht="14.5" x14ac:dyDescent="0.3">
      <c r="A510" s="37">
        <v>502</v>
      </c>
      <c r="B510" s="40" t="s">
        <v>842</v>
      </c>
      <c r="C510" s="38" t="s">
        <v>841</v>
      </c>
      <c r="D510" s="37" t="s">
        <v>740</v>
      </c>
      <c r="E510" s="41">
        <v>25420</v>
      </c>
      <c r="F510" s="39">
        <v>0</v>
      </c>
      <c r="G510" s="12"/>
      <c r="H510" s="12">
        <f t="shared" si="22"/>
        <v>0</v>
      </c>
      <c r="I510" s="12">
        <f t="shared" si="23"/>
        <v>0</v>
      </c>
      <c r="J510" s="12">
        <f t="shared" si="24"/>
        <v>0</v>
      </c>
      <c r="K510" s="14"/>
    </row>
    <row r="511" spans="1:11" ht="14.5" x14ac:dyDescent="0.3">
      <c r="A511" s="37">
        <v>503</v>
      </c>
      <c r="B511" s="37" t="s">
        <v>843</v>
      </c>
      <c r="C511" s="38" t="s">
        <v>841</v>
      </c>
      <c r="D511" s="37" t="s">
        <v>740</v>
      </c>
      <c r="E511" s="39">
        <v>0</v>
      </c>
      <c r="F511" s="39">
        <v>10340</v>
      </c>
      <c r="G511" s="12"/>
      <c r="H511" s="12">
        <f t="shared" si="22"/>
        <v>0</v>
      </c>
      <c r="I511" s="12">
        <f t="shared" si="23"/>
        <v>0</v>
      </c>
      <c r="J511" s="12">
        <f t="shared" si="24"/>
        <v>0</v>
      </c>
      <c r="K511" s="14"/>
    </row>
    <row r="512" spans="1:11" ht="14.5" x14ac:dyDescent="0.3">
      <c r="A512" s="37">
        <v>504</v>
      </c>
      <c r="B512" s="40" t="s">
        <v>750</v>
      </c>
      <c r="C512" s="38" t="s">
        <v>749</v>
      </c>
      <c r="D512" s="37" t="s">
        <v>13</v>
      </c>
      <c r="E512" s="39">
        <v>23000</v>
      </c>
      <c r="F512" s="41">
        <v>0</v>
      </c>
      <c r="G512" s="12"/>
      <c r="H512" s="12">
        <f t="shared" si="22"/>
        <v>0</v>
      </c>
      <c r="I512" s="12">
        <f t="shared" si="23"/>
        <v>0</v>
      </c>
      <c r="J512" s="12">
        <f t="shared" si="24"/>
        <v>0</v>
      </c>
      <c r="K512" s="14"/>
    </row>
    <row r="513" spans="1:11" ht="14.5" x14ac:dyDescent="0.3">
      <c r="A513" s="37">
        <v>505</v>
      </c>
      <c r="B513" s="40" t="s">
        <v>751</v>
      </c>
      <c r="C513" s="38" t="s">
        <v>749</v>
      </c>
      <c r="D513" s="37" t="s">
        <v>13</v>
      </c>
      <c r="E513" s="41">
        <v>0</v>
      </c>
      <c r="F513" s="39">
        <v>24000</v>
      </c>
      <c r="G513" s="12"/>
      <c r="H513" s="12">
        <f t="shared" si="22"/>
        <v>0</v>
      </c>
      <c r="I513" s="12">
        <f t="shared" si="23"/>
        <v>0</v>
      </c>
      <c r="J513" s="12">
        <f t="shared" si="24"/>
        <v>0</v>
      </c>
      <c r="K513" s="14"/>
    </row>
    <row r="514" spans="1:11" ht="14.5" x14ac:dyDescent="0.3">
      <c r="A514" s="37">
        <v>506</v>
      </c>
      <c r="B514" s="37" t="s">
        <v>753</v>
      </c>
      <c r="C514" s="38" t="s">
        <v>752</v>
      </c>
      <c r="D514" s="37" t="s">
        <v>13</v>
      </c>
      <c r="E514" s="39">
        <v>23000</v>
      </c>
      <c r="F514" s="39">
        <v>0</v>
      </c>
      <c r="G514" s="12"/>
      <c r="H514" s="12">
        <f t="shared" si="22"/>
        <v>0</v>
      </c>
      <c r="I514" s="12">
        <f t="shared" si="23"/>
        <v>0</v>
      </c>
      <c r="J514" s="12">
        <f t="shared" si="24"/>
        <v>0</v>
      </c>
      <c r="K514" s="14"/>
    </row>
    <row r="515" spans="1:11" ht="14.5" x14ac:dyDescent="0.3">
      <c r="A515" s="37">
        <v>507</v>
      </c>
      <c r="B515" s="40" t="s">
        <v>754</v>
      </c>
      <c r="C515" s="38" t="s">
        <v>752</v>
      </c>
      <c r="D515" s="37" t="s">
        <v>13</v>
      </c>
      <c r="E515" s="39">
        <v>0</v>
      </c>
      <c r="F515" s="41">
        <v>24000</v>
      </c>
      <c r="G515" s="12"/>
      <c r="H515" s="12">
        <f t="shared" si="22"/>
        <v>0</v>
      </c>
      <c r="I515" s="12">
        <f t="shared" si="23"/>
        <v>0</v>
      </c>
      <c r="J515" s="12">
        <f t="shared" si="24"/>
        <v>0</v>
      </c>
      <c r="K515" s="14"/>
    </row>
    <row r="516" spans="1:11" ht="14.5" x14ac:dyDescent="0.3">
      <c r="A516" s="37">
        <v>508</v>
      </c>
      <c r="B516" s="40" t="s">
        <v>1027</v>
      </c>
      <c r="C516" s="38" t="s">
        <v>1026</v>
      </c>
      <c r="D516" s="37" t="s">
        <v>71</v>
      </c>
      <c r="E516" s="41">
        <v>0</v>
      </c>
      <c r="F516" s="39">
        <v>5010</v>
      </c>
      <c r="G516" s="12"/>
      <c r="H516" s="12">
        <f t="shared" si="22"/>
        <v>0</v>
      </c>
      <c r="I516" s="12">
        <f t="shared" si="23"/>
        <v>0</v>
      </c>
      <c r="J516" s="12">
        <f t="shared" si="24"/>
        <v>0</v>
      </c>
      <c r="K516" s="14"/>
    </row>
    <row r="517" spans="1:11" ht="14.5" x14ac:dyDescent="0.3">
      <c r="A517" s="37">
        <v>509</v>
      </c>
      <c r="B517" s="37" t="s">
        <v>1033</v>
      </c>
      <c r="C517" s="38" t="s">
        <v>1032</v>
      </c>
      <c r="D517" s="37" t="s">
        <v>16</v>
      </c>
      <c r="E517" s="39">
        <v>0</v>
      </c>
      <c r="F517" s="39">
        <v>5010</v>
      </c>
      <c r="G517" s="12"/>
      <c r="H517" s="12">
        <f t="shared" si="22"/>
        <v>0</v>
      </c>
      <c r="I517" s="12">
        <f t="shared" si="23"/>
        <v>0</v>
      </c>
      <c r="J517" s="12">
        <f t="shared" si="24"/>
        <v>0</v>
      </c>
      <c r="K517" s="14"/>
    </row>
    <row r="518" spans="1:11" ht="14.5" x14ac:dyDescent="0.3">
      <c r="A518" s="37">
        <v>510</v>
      </c>
      <c r="B518" s="40" t="s">
        <v>1037</v>
      </c>
      <c r="C518" s="38" t="s">
        <v>1036</v>
      </c>
      <c r="D518" s="37" t="s">
        <v>987</v>
      </c>
      <c r="E518" s="39">
        <v>0</v>
      </c>
      <c r="F518" s="41">
        <v>5010</v>
      </c>
      <c r="G518" s="12"/>
      <c r="H518" s="12">
        <f t="shared" si="22"/>
        <v>0</v>
      </c>
      <c r="I518" s="12">
        <f t="shared" si="23"/>
        <v>0</v>
      </c>
      <c r="J518" s="12">
        <f t="shared" si="24"/>
        <v>0</v>
      </c>
      <c r="K518" s="14"/>
    </row>
    <row r="519" spans="1:11" ht="14.5" x14ac:dyDescent="0.3">
      <c r="A519" s="37">
        <v>511</v>
      </c>
      <c r="B519" s="40" t="s">
        <v>756</v>
      </c>
      <c r="C519" s="38" t="s">
        <v>755</v>
      </c>
      <c r="D519" s="37" t="s">
        <v>712</v>
      </c>
      <c r="E519" s="41">
        <v>12656</v>
      </c>
      <c r="F519" s="39">
        <v>0</v>
      </c>
      <c r="G519" s="12"/>
      <c r="H519" s="12">
        <f t="shared" si="22"/>
        <v>0</v>
      </c>
      <c r="I519" s="12">
        <f t="shared" si="23"/>
        <v>0</v>
      </c>
      <c r="J519" s="12">
        <f t="shared" si="24"/>
        <v>0</v>
      </c>
      <c r="K519" s="14"/>
    </row>
    <row r="520" spans="1:11" ht="14.5" x14ac:dyDescent="0.3">
      <c r="A520" s="37">
        <v>512</v>
      </c>
      <c r="B520" s="37" t="s">
        <v>757</v>
      </c>
      <c r="C520" s="38" t="s">
        <v>755</v>
      </c>
      <c r="D520" s="37" t="s">
        <v>712</v>
      </c>
      <c r="E520" s="39">
        <v>0</v>
      </c>
      <c r="F520" s="39">
        <v>1544</v>
      </c>
      <c r="G520" s="12"/>
      <c r="H520" s="12">
        <f t="shared" si="22"/>
        <v>0</v>
      </c>
      <c r="I520" s="12">
        <f t="shared" si="23"/>
        <v>0</v>
      </c>
      <c r="J520" s="12">
        <f t="shared" si="24"/>
        <v>0</v>
      </c>
      <c r="K520" s="14"/>
    </row>
    <row r="521" spans="1:11" ht="14.5" x14ac:dyDescent="0.3">
      <c r="A521" s="37">
        <v>513</v>
      </c>
      <c r="B521" s="40" t="s">
        <v>845</v>
      </c>
      <c r="C521" s="38" t="s">
        <v>844</v>
      </c>
      <c r="D521" s="37" t="s">
        <v>740</v>
      </c>
      <c r="E521" s="39">
        <v>18000</v>
      </c>
      <c r="F521" s="41">
        <v>0</v>
      </c>
      <c r="G521" s="12"/>
      <c r="H521" s="12">
        <f t="shared" si="22"/>
        <v>0</v>
      </c>
      <c r="I521" s="12">
        <f t="shared" si="23"/>
        <v>0</v>
      </c>
      <c r="J521" s="12">
        <f t="shared" si="24"/>
        <v>0</v>
      </c>
      <c r="K521" s="14"/>
    </row>
    <row r="522" spans="1:11" ht="14.5" x14ac:dyDescent="0.3">
      <c r="A522" s="37">
        <v>514</v>
      </c>
      <c r="B522" s="40" t="s">
        <v>846</v>
      </c>
      <c r="C522" s="38" t="s">
        <v>844</v>
      </c>
      <c r="D522" s="37" t="s">
        <v>740</v>
      </c>
      <c r="E522" s="41">
        <v>0</v>
      </c>
      <c r="F522" s="39">
        <v>12000</v>
      </c>
      <c r="G522" s="12"/>
      <c r="H522" s="12">
        <f t="shared" ref="H522:H585" si="25">E522*G522</f>
        <v>0</v>
      </c>
      <c r="I522" s="12">
        <f t="shared" ref="I522:I585" si="26">F522*G522</f>
        <v>0</v>
      </c>
      <c r="J522" s="12">
        <f t="shared" ref="J522:J585" si="27">SUM(H522:I522)</f>
        <v>0</v>
      </c>
      <c r="K522" s="14"/>
    </row>
    <row r="523" spans="1:11" ht="58" x14ac:dyDescent="0.3">
      <c r="A523" s="37">
        <v>515</v>
      </c>
      <c r="B523" s="37" t="s">
        <v>851</v>
      </c>
      <c r="C523" s="38" t="s">
        <v>850</v>
      </c>
      <c r="D523" s="37" t="s">
        <v>740</v>
      </c>
      <c r="E523" s="39">
        <v>775000</v>
      </c>
      <c r="F523" s="39">
        <v>0</v>
      </c>
      <c r="G523" s="12"/>
      <c r="H523" s="12">
        <f t="shared" si="25"/>
        <v>0</v>
      </c>
      <c r="I523" s="12">
        <f t="shared" si="26"/>
        <v>0</v>
      </c>
      <c r="J523" s="12">
        <f t="shared" si="27"/>
        <v>0</v>
      </c>
      <c r="K523" s="14"/>
    </row>
    <row r="524" spans="1:11" ht="58" x14ac:dyDescent="0.3">
      <c r="A524" s="37">
        <v>516</v>
      </c>
      <c r="B524" s="40" t="s">
        <v>852</v>
      </c>
      <c r="C524" s="38" t="s">
        <v>850</v>
      </c>
      <c r="D524" s="37" t="s">
        <v>740</v>
      </c>
      <c r="E524" s="39">
        <v>0</v>
      </c>
      <c r="F524" s="41">
        <v>147750</v>
      </c>
      <c r="G524" s="12"/>
      <c r="H524" s="12">
        <f t="shared" si="25"/>
        <v>0</v>
      </c>
      <c r="I524" s="12">
        <f t="shared" si="26"/>
        <v>0</v>
      </c>
      <c r="J524" s="12">
        <f t="shared" si="27"/>
        <v>0</v>
      </c>
      <c r="K524" s="14"/>
    </row>
    <row r="525" spans="1:11" ht="72.5" x14ac:dyDescent="0.3">
      <c r="A525" s="37">
        <v>517</v>
      </c>
      <c r="B525" s="40" t="s">
        <v>848</v>
      </c>
      <c r="C525" s="38" t="s">
        <v>847</v>
      </c>
      <c r="D525" s="37" t="s">
        <v>740</v>
      </c>
      <c r="E525" s="41">
        <v>588235</v>
      </c>
      <c r="F525" s="39">
        <v>0</v>
      </c>
      <c r="G525" s="12"/>
      <c r="H525" s="12">
        <f t="shared" si="25"/>
        <v>0</v>
      </c>
      <c r="I525" s="12">
        <f t="shared" si="26"/>
        <v>0</v>
      </c>
      <c r="J525" s="12">
        <f t="shared" si="27"/>
        <v>0</v>
      </c>
      <c r="K525" s="14"/>
    </row>
    <row r="526" spans="1:11" ht="72.5" x14ac:dyDescent="0.3">
      <c r="A526" s="37">
        <v>518</v>
      </c>
      <c r="B526" s="37" t="s">
        <v>849</v>
      </c>
      <c r="C526" s="38" t="s">
        <v>847</v>
      </c>
      <c r="D526" s="37" t="s">
        <v>740</v>
      </c>
      <c r="E526" s="39">
        <v>0</v>
      </c>
      <c r="F526" s="39">
        <v>142285</v>
      </c>
      <c r="G526" s="12"/>
      <c r="H526" s="12">
        <f t="shared" si="25"/>
        <v>0</v>
      </c>
      <c r="I526" s="12">
        <f t="shared" si="26"/>
        <v>0</v>
      </c>
      <c r="J526" s="12">
        <f t="shared" si="27"/>
        <v>0</v>
      </c>
      <c r="K526" s="14"/>
    </row>
    <row r="527" spans="1:11" ht="43.5" x14ac:dyDescent="0.3">
      <c r="A527" s="37">
        <v>519</v>
      </c>
      <c r="B527" s="40" t="s">
        <v>284</v>
      </c>
      <c r="C527" s="38" t="s">
        <v>283</v>
      </c>
      <c r="D527" s="37" t="s">
        <v>13</v>
      </c>
      <c r="E527" s="39">
        <v>1530393</v>
      </c>
      <c r="F527" s="41">
        <v>0</v>
      </c>
      <c r="G527" s="12"/>
      <c r="H527" s="12">
        <f t="shared" si="25"/>
        <v>0</v>
      </c>
      <c r="I527" s="12">
        <f t="shared" si="26"/>
        <v>0</v>
      </c>
      <c r="J527" s="12">
        <f t="shared" si="27"/>
        <v>0</v>
      </c>
      <c r="K527" s="14"/>
    </row>
    <row r="528" spans="1:11" ht="43.5" x14ac:dyDescent="0.3">
      <c r="A528" s="37">
        <v>520</v>
      </c>
      <c r="B528" s="40" t="s">
        <v>285</v>
      </c>
      <c r="C528" s="38" t="s">
        <v>283</v>
      </c>
      <c r="D528" s="37" t="s">
        <v>13</v>
      </c>
      <c r="E528" s="41">
        <v>0</v>
      </c>
      <c r="F528" s="39">
        <v>122902</v>
      </c>
      <c r="G528" s="12"/>
      <c r="H528" s="12">
        <f t="shared" si="25"/>
        <v>0</v>
      </c>
      <c r="I528" s="12">
        <f t="shared" si="26"/>
        <v>0</v>
      </c>
      <c r="J528" s="12">
        <f t="shared" si="27"/>
        <v>0</v>
      </c>
      <c r="K528" s="14"/>
    </row>
    <row r="529" spans="1:11" ht="43.5" x14ac:dyDescent="0.3">
      <c r="A529" s="37">
        <v>521</v>
      </c>
      <c r="B529" s="37" t="s">
        <v>281</v>
      </c>
      <c r="C529" s="38" t="s">
        <v>280</v>
      </c>
      <c r="D529" s="37" t="s">
        <v>13</v>
      </c>
      <c r="E529" s="39">
        <v>1321312</v>
      </c>
      <c r="F529" s="39">
        <v>0</v>
      </c>
      <c r="G529" s="12"/>
      <c r="H529" s="12">
        <f t="shared" si="25"/>
        <v>0</v>
      </c>
      <c r="I529" s="12">
        <f t="shared" si="26"/>
        <v>0</v>
      </c>
      <c r="J529" s="12">
        <f t="shared" si="27"/>
        <v>0</v>
      </c>
      <c r="K529" s="14"/>
    </row>
    <row r="530" spans="1:11" ht="43.5" x14ac:dyDescent="0.3">
      <c r="A530" s="37">
        <v>522</v>
      </c>
      <c r="B530" s="40" t="s">
        <v>282</v>
      </c>
      <c r="C530" s="38" t="s">
        <v>280</v>
      </c>
      <c r="D530" s="37" t="s">
        <v>13</v>
      </c>
      <c r="E530" s="39">
        <v>0</v>
      </c>
      <c r="F530" s="41">
        <v>122902</v>
      </c>
      <c r="G530" s="12"/>
      <c r="H530" s="12">
        <f t="shared" si="25"/>
        <v>0</v>
      </c>
      <c r="I530" s="12">
        <f t="shared" si="26"/>
        <v>0</v>
      </c>
      <c r="J530" s="12">
        <f t="shared" si="27"/>
        <v>0</v>
      </c>
      <c r="K530" s="14"/>
    </row>
    <row r="531" spans="1:11" ht="14.5" x14ac:dyDescent="0.3">
      <c r="A531" s="37">
        <v>523</v>
      </c>
      <c r="B531" s="40" t="s">
        <v>1030</v>
      </c>
      <c r="C531" s="38" t="s">
        <v>1008</v>
      </c>
      <c r="D531" s="37" t="s">
        <v>71</v>
      </c>
      <c r="E531" s="41">
        <v>0</v>
      </c>
      <c r="F531" s="39">
        <v>10560</v>
      </c>
      <c r="G531" s="12"/>
      <c r="H531" s="12">
        <f t="shared" si="25"/>
        <v>0</v>
      </c>
      <c r="I531" s="12">
        <f t="shared" si="26"/>
        <v>0</v>
      </c>
      <c r="J531" s="12">
        <f t="shared" si="27"/>
        <v>0</v>
      </c>
      <c r="K531" s="14"/>
    </row>
    <row r="532" spans="1:11" ht="14.5" x14ac:dyDescent="0.3">
      <c r="A532" s="37">
        <v>524</v>
      </c>
      <c r="B532" s="37" t="s">
        <v>1029</v>
      </c>
      <c r="C532" s="38" t="s">
        <v>1028</v>
      </c>
      <c r="D532" s="37" t="s">
        <v>71</v>
      </c>
      <c r="E532" s="39">
        <v>0</v>
      </c>
      <c r="F532" s="39">
        <v>2490</v>
      </c>
      <c r="G532" s="12"/>
      <c r="H532" s="12">
        <f t="shared" si="25"/>
        <v>0</v>
      </c>
      <c r="I532" s="12">
        <f t="shared" si="26"/>
        <v>0</v>
      </c>
      <c r="J532" s="12">
        <f t="shared" si="27"/>
        <v>0</v>
      </c>
      <c r="K532" s="14"/>
    </row>
    <row r="533" spans="1:11" ht="14.5" x14ac:dyDescent="0.3">
      <c r="A533" s="37">
        <v>525</v>
      </c>
      <c r="B533" s="40" t="s">
        <v>1031</v>
      </c>
      <c r="C533" s="38" t="s">
        <v>981</v>
      </c>
      <c r="D533" s="37" t="s">
        <v>91</v>
      </c>
      <c r="E533" s="39">
        <v>0</v>
      </c>
      <c r="F533" s="41">
        <v>17240</v>
      </c>
      <c r="G533" s="12"/>
      <c r="H533" s="12">
        <f t="shared" si="25"/>
        <v>0</v>
      </c>
      <c r="I533" s="12">
        <f t="shared" si="26"/>
        <v>0</v>
      </c>
      <c r="J533" s="12">
        <f t="shared" si="27"/>
        <v>0</v>
      </c>
      <c r="K533" s="14"/>
    </row>
    <row r="534" spans="1:11" ht="14.5" x14ac:dyDescent="0.3">
      <c r="A534" s="37">
        <v>526</v>
      </c>
      <c r="B534" s="40" t="s">
        <v>1035</v>
      </c>
      <c r="C534" s="38" t="s">
        <v>1034</v>
      </c>
      <c r="D534" s="37" t="s">
        <v>1000</v>
      </c>
      <c r="E534" s="41">
        <v>0</v>
      </c>
      <c r="F534" s="39">
        <v>9250</v>
      </c>
      <c r="G534" s="12"/>
      <c r="H534" s="12">
        <f t="shared" si="25"/>
        <v>0</v>
      </c>
      <c r="I534" s="12">
        <f t="shared" si="26"/>
        <v>0</v>
      </c>
      <c r="J534" s="12">
        <f t="shared" si="27"/>
        <v>0</v>
      </c>
      <c r="K534" s="14"/>
    </row>
    <row r="535" spans="1:11" ht="29" x14ac:dyDescent="0.3">
      <c r="A535" s="37">
        <v>527</v>
      </c>
      <c r="B535" s="37" t="s">
        <v>186</v>
      </c>
      <c r="C535" s="38" t="s">
        <v>185</v>
      </c>
      <c r="D535" s="37" t="s">
        <v>14</v>
      </c>
      <c r="E535" s="39">
        <v>0</v>
      </c>
      <c r="F535" s="39">
        <v>47000</v>
      </c>
      <c r="G535" s="12"/>
      <c r="H535" s="12">
        <f t="shared" si="25"/>
        <v>0</v>
      </c>
      <c r="I535" s="12">
        <f t="shared" si="26"/>
        <v>0</v>
      </c>
      <c r="J535" s="12">
        <f t="shared" si="27"/>
        <v>0</v>
      </c>
      <c r="K535" s="14"/>
    </row>
    <row r="536" spans="1:11" ht="29" x14ac:dyDescent="0.3">
      <c r="A536" s="37">
        <v>528</v>
      </c>
      <c r="B536" s="40" t="s">
        <v>921</v>
      </c>
      <c r="C536" s="38" t="s">
        <v>920</v>
      </c>
      <c r="D536" s="37" t="s">
        <v>101</v>
      </c>
      <c r="E536" s="39">
        <v>15625</v>
      </c>
      <c r="F536" s="41">
        <v>0</v>
      </c>
      <c r="G536" s="12"/>
      <c r="H536" s="12">
        <f t="shared" si="25"/>
        <v>0</v>
      </c>
      <c r="I536" s="12">
        <f t="shared" si="26"/>
        <v>0</v>
      </c>
      <c r="J536" s="12">
        <f t="shared" si="27"/>
        <v>0</v>
      </c>
      <c r="K536" s="14"/>
    </row>
    <row r="537" spans="1:11" ht="29" x14ac:dyDescent="0.3">
      <c r="A537" s="37">
        <v>529</v>
      </c>
      <c r="B537" s="40" t="s">
        <v>922</v>
      </c>
      <c r="C537" s="38" t="s">
        <v>920</v>
      </c>
      <c r="D537" s="37" t="s">
        <v>101</v>
      </c>
      <c r="E537" s="41">
        <v>0</v>
      </c>
      <c r="F537" s="39">
        <v>7776</v>
      </c>
      <c r="G537" s="12"/>
      <c r="H537" s="12">
        <f t="shared" si="25"/>
        <v>0</v>
      </c>
      <c r="I537" s="12">
        <f t="shared" si="26"/>
        <v>0</v>
      </c>
      <c r="J537" s="12">
        <f t="shared" si="27"/>
        <v>0</v>
      </c>
      <c r="K537" s="14"/>
    </row>
    <row r="538" spans="1:11" ht="14.5" x14ac:dyDescent="0.3">
      <c r="A538" s="37">
        <v>530</v>
      </c>
      <c r="B538" s="37" t="s">
        <v>958</v>
      </c>
      <c r="C538" s="38" t="s">
        <v>957</v>
      </c>
      <c r="D538" s="37" t="s">
        <v>740</v>
      </c>
      <c r="E538" s="39">
        <v>0</v>
      </c>
      <c r="F538" s="39">
        <v>44970</v>
      </c>
      <c r="G538" s="12"/>
      <c r="H538" s="12">
        <f t="shared" si="25"/>
        <v>0</v>
      </c>
      <c r="I538" s="12">
        <f t="shared" si="26"/>
        <v>0</v>
      </c>
      <c r="J538" s="12">
        <f t="shared" si="27"/>
        <v>0</v>
      </c>
      <c r="K538" s="14"/>
    </row>
    <row r="539" spans="1:11" ht="14.5" x14ac:dyDescent="0.3">
      <c r="A539" s="37">
        <v>531</v>
      </c>
      <c r="B539" s="40" t="s">
        <v>960</v>
      </c>
      <c r="C539" s="38" t="s">
        <v>959</v>
      </c>
      <c r="D539" s="37" t="s">
        <v>740</v>
      </c>
      <c r="E539" s="39">
        <v>0</v>
      </c>
      <c r="F539" s="41">
        <v>56220</v>
      </c>
      <c r="G539" s="12"/>
      <c r="H539" s="12">
        <f t="shared" si="25"/>
        <v>0</v>
      </c>
      <c r="I539" s="12">
        <f t="shared" si="26"/>
        <v>0</v>
      </c>
      <c r="J539" s="12">
        <f t="shared" si="27"/>
        <v>0</v>
      </c>
      <c r="K539" s="14"/>
    </row>
    <row r="540" spans="1:11" ht="14.5" x14ac:dyDescent="0.3">
      <c r="A540" s="37">
        <v>532</v>
      </c>
      <c r="B540" s="40" t="s">
        <v>954</v>
      </c>
      <c r="C540" s="38" t="s">
        <v>953</v>
      </c>
      <c r="D540" s="37" t="s">
        <v>740</v>
      </c>
      <c r="E540" s="41">
        <v>0</v>
      </c>
      <c r="F540" s="39">
        <v>252790</v>
      </c>
      <c r="G540" s="12"/>
      <c r="H540" s="12">
        <f t="shared" si="25"/>
        <v>0</v>
      </c>
      <c r="I540" s="12">
        <f t="shared" si="26"/>
        <v>0</v>
      </c>
      <c r="J540" s="12">
        <f t="shared" si="27"/>
        <v>0</v>
      </c>
      <c r="K540" s="14"/>
    </row>
    <row r="541" spans="1:11" ht="14.5" x14ac:dyDescent="0.3">
      <c r="A541" s="37">
        <v>533</v>
      </c>
      <c r="B541" s="37" t="s">
        <v>956</v>
      </c>
      <c r="C541" s="38" t="s">
        <v>955</v>
      </c>
      <c r="D541" s="37" t="s">
        <v>740</v>
      </c>
      <c r="E541" s="39">
        <v>0</v>
      </c>
      <c r="F541" s="39">
        <v>348260</v>
      </c>
      <c r="G541" s="12"/>
      <c r="H541" s="12">
        <f t="shared" si="25"/>
        <v>0</v>
      </c>
      <c r="I541" s="12">
        <f t="shared" si="26"/>
        <v>0</v>
      </c>
      <c r="J541" s="12">
        <f t="shared" si="27"/>
        <v>0</v>
      </c>
      <c r="K541" s="14"/>
    </row>
    <row r="542" spans="1:11" ht="14.5" x14ac:dyDescent="0.3">
      <c r="A542" s="37">
        <v>534</v>
      </c>
      <c r="B542" s="40" t="s">
        <v>941</v>
      </c>
      <c r="C542" s="38" t="s">
        <v>940</v>
      </c>
      <c r="D542" s="37" t="s">
        <v>740</v>
      </c>
      <c r="E542" s="39">
        <v>0</v>
      </c>
      <c r="F542" s="41">
        <v>104040</v>
      </c>
      <c r="G542" s="12"/>
      <c r="H542" s="12">
        <f t="shared" si="25"/>
        <v>0</v>
      </c>
      <c r="I542" s="12">
        <f t="shared" si="26"/>
        <v>0</v>
      </c>
      <c r="J542" s="12">
        <f t="shared" si="27"/>
        <v>0</v>
      </c>
      <c r="K542" s="14"/>
    </row>
    <row r="543" spans="1:11" ht="14.5" x14ac:dyDescent="0.3">
      <c r="A543" s="37">
        <v>535</v>
      </c>
      <c r="B543" s="40" t="s">
        <v>939</v>
      </c>
      <c r="C543" s="38" t="s">
        <v>938</v>
      </c>
      <c r="D543" s="37" t="s">
        <v>740</v>
      </c>
      <c r="E543" s="41">
        <v>0</v>
      </c>
      <c r="F543" s="39">
        <v>520040</v>
      </c>
      <c r="G543" s="12"/>
      <c r="H543" s="12">
        <f t="shared" si="25"/>
        <v>0</v>
      </c>
      <c r="I543" s="12">
        <f t="shared" si="26"/>
        <v>0</v>
      </c>
      <c r="J543" s="12">
        <f t="shared" si="27"/>
        <v>0</v>
      </c>
      <c r="K543" s="14"/>
    </row>
    <row r="544" spans="1:11" ht="29" x14ac:dyDescent="0.3">
      <c r="A544" s="37">
        <v>536</v>
      </c>
      <c r="B544" s="37" t="s">
        <v>943</v>
      </c>
      <c r="C544" s="38" t="s">
        <v>942</v>
      </c>
      <c r="D544" s="37" t="s">
        <v>91</v>
      </c>
      <c r="E544" s="39">
        <v>0</v>
      </c>
      <c r="F544" s="39">
        <v>95470</v>
      </c>
      <c r="G544" s="12"/>
      <c r="H544" s="12">
        <f t="shared" si="25"/>
        <v>0</v>
      </c>
      <c r="I544" s="12">
        <f t="shared" si="26"/>
        <v>0</v>
      </c>
      <c r="J544" s="12">
        <f t="shared" si="27"/>
        <v>0</v>
      </c>
      <c r="K544" s="14"/>
    </row>
    <row r="545" spans="1:11" ht="29" x14ac:dyDescent="0.3">
      <c r="A545" s="37">
        <v>537</v>
      </c>
      <c r="B545" s="40" t="s">
        <v>236</v>
      </c>
      <c r="C545" s="38" t="s">
        <v>235</v>
      </c>
      <c r="D545" s="37" t="s">
        <v>13</v>
      </c>
      <c r="E545" s="39">
        <v>30500</v>
      </c>
      <c r="F545" s="41">
        <v>0</v>
      </c>
      <c r="G545" s="12"/>
      <c r="H545" s="12">
        <f t="shared" si="25"/>
        <v>0</v>
      </c>
      <c r="I545" s="12">
        <f t="shared" si="26"/>
        <v>0</v>
      </c>
      <c r="J545" s="12">
        <f t="shared" si="27"/>
        <v>0</v>
      </c>
      <c r="K545" s="14"/>
    </row>
    <row r="546" spans="1:11" ht="29" x14ac:dyDescent="0.3">
      <c r="A546" s="37">
        <v>538</v>
      </c>
      <c r="B546" s="40" t="s">
        <v>237</v>
      </c>
      <c r="C546" s="38" t="s">
        <v>235</v>
      </c>
      <c r="D546" s="37" t="s">
        <v>13</v>
      </c>
      <c r="E546" s="41">
        <v>0</v>
      </c>
      <c r="F546" s="39">
        <v>2730</v>
      </c>
      <c r="G546" s="12"/>
      <c r="H546" s="12">
        <f t="shared" si="25"/>
        <v>0</v>
      </c>
      <c r="I546" s="12">
        <f t="shared" si="26"/>
        <v>0</v>
      </c>
      <c r="J546" s="12">
        <f t="shared" si="27"/>
        <v>0</v>
      </c>
      <c r="K546" s="14"/>
    </row>
    <row r="547" spans="1:11" ht="29" x14ac:dyDescent="0.3">
      <c r="A547" s="37">
        <v>539</v>
      </c>
      <c r="B547" s="37" t="s">
        <v>227</v>
      </c>
      <c r="C547" s="38" t="s">
        <v>226</v>
      </c>
      <c r="D547" s="37" t="s">
        <v>13</v>
      </c>
      <c r="E547" s="39">
        <v>30500</v>
      </c>
      <c r="F547" s="39">
        <v>0</v>
      </c>
      <c r="G547" s="12"/>
      <c r="H547" s="12">
        <f t="shared" si="25"/>
        <v>0</v>
      </c>
      <c r="I547" s="12">
        <f t="shared" si="26"/>
        <v>0</v>
      </c>
      <c r="J547" s="12">
        <f t="shared" si="27"/>
        <v>0</v>
      </c>
      <c r="K547" s="14"/>
    </row>
    <row r="548" spans="1:11" ht="29" x14ac:dyDescent="0.3">
      <c r="A548" s="37">
        <v>540</v>
      </c>
      <c r="B548" s="40" t="s">
        <v>228</v>
      </c>
      <c r="C548" s="38" t="s">
        <v>226</v>
      </c>
      <c r="D548" s="37" t="s">
        <v>13</v>
      </c>
      <c r="E548" s="39">
        <v>0</v>
      </c>
      <c r="F548" s="41">
        <v>2730</v>
      </c>
      <c r="G548" s="12"/>
      <c r="H548" s="12">
        <f t="shared" si="25"/>
        <v>0</v>
      </c>
      <c r="I548" s="12">
        <f t="shared" si="26"/>
        <v>0</v>
      </c>
      <c r="J548" s="12">
        <f t="shared" si="27"/>
        <v>0</v>
      </c>
      <c r="K548" s="14"/>
    </row>
    <row r="549" spans="1:11" ht="29" x14ac:dyDescent="0.3">
      <c r="A549" s="37">
        <v>541</v>
      </c>
      <c r="B549" s="40" t="s">
        <v>218</v>
      </c>
      <c r="C549" s="38" t="s">
        <v>217</v>
      </c>
      <c r="D549" s="37" t="s">
        <v>13</v>
      </c>
      <c r="E549" s="41">
        <v>30500</v>
      </c>
      <c r="F549" s="39">
        <v>0</v>
      </c>
      <c r="G549" s="12"/>
      <c r="H549" s="12">
        <f t="shared" si="25"/>
        <v>0</v>
      </c>
      <c r="I549" s="12">
        <f t="shared" si="26"/>
        <v>0</v>
      </c>
      <c r="J549" s="12">
        <f t="shared" si="27"/>
        <v>0</v>
      </c>
      <c r="K549" s="14"/>
    </row>
    <row r="550" spans="1:11" ht="29" x14ac:dyDescent="0.3">
      <c r="A550" s="37">
        <v>542</v>
      </c>
      <c r="B550" s="37" t="s">
        <v>219</v>
      </c>
      <c r="C550" s="38" t="s">
        <v>217</v>
      </c>
      <c r="D550" s="37" t="s">
        <v>13</v>
      </c>
      <c r="E550" s="39">
        <v>0</v>
      </c>
      <c r="F550" s="39">
        <v>2600</v>
      </c>
      <c r="G550" s="12"/>
      <c r="H550" s="12">
        <f t="shared" si="25"/>
        <v>0</v>
      </c>
      <c r="I550" s="12">
        <f t="shared" si="26"/>
        <v>0</v>
      </c>
      <c r="J550" s="12">
        <f t="shared" si="27"/>
        <v>0</v>
      </c>
      <c r="K550" s="14"/>
    </row>
    <row r="551" spans="1:11" ht="14.5" x14ac:dyDescent="0.3">
      <c r="A551" s="37">
        <v>543</v>
      </c>
      <c r="B551" s="40" t="s">
        <v>239</v>
      </c>
      <c r="C551" s="38" t="s">
        <v>238</v>
      </c>
      <c r="D551" s="37" t="s">
        <v>12</v>
      </c>
      <c r="E551" s="39">
        <v>3000</v>
      </c>
      <c r="F551" s="41">
        <v>0</v>
      </c>
      <c r="G551" s="12"/>
      <c r="H551" s="12">
        <f t="shared" si="25"/>
        <v>0</v>
      </c>
      <c r="I551" s="12">
        <f t="shared" si="26"/>
        <v>0</v>
      </c>
      <c r="J551" s="12">
        <f t="shared" si="27"/>
        <v>0</v>
      </c>
      <c r="K551" s="14"/>
    </row>
    <row r="552" spans="1:11" ht="14.5" x14ac:dyDescent="0.3">
      <c r="A552" s="37">
        <v>544</v>
      </c>
      <c r="B552" s="40" t="s">
        <v>240</v>
      </c>
      <c r="C552" s="38" t="s">
        <v>238</v>
      </c>
      <c r="D552" s="37" t="s">
        <v>12</v>
      </c>
      <c r="E552" s="41">
        <v>0</v>
      </c>
      <c r="F552" s="39">
        <v>1352</v>
      </c>
      <c r="G552" s="12"/>
      <c r="H552" s="12">
        <f t="shared" si="25"/>
        <v>0</v>
      </c>
      <c r="I552" s="12">
        <f t="shared" si="26"/>
        <v>0</v>
      </c>
      <c r="J552" s="12">
        <f t="shared" si="27"/>
        <v>0</v>
      </c>
      <c r="K552" s="14"/>
    </row>
    <row r="553" spans="1:11" ht="14.5" x14ac:dyDescent="0.3">
      <c r="A553" s="37">
        <v>545</v>
      </c>
      <c r="B553" s="37" t="s">
        <v>230</v>
      </c>
      <c r="C553" s="38" t="s">
        <v>229</v>
      </c>
      <c r="D553" s="37" t="s">
        <v>12</v>
      </c>
      <c r="E553" s="39">
        <v>3729</v>
      </c>
      <c r="F553" s="39">
        <v>0</v>
      </c>
      <c r="G553" s="12"/>
      <c r="H553" s="12">
        <f t="shared" si="25"/>
        <v>0</v>
      </c>
      <c r="I553" s="12">
        <f t="shared" si="26"/>
        <v>0</v>
      </c>
      <c r="J553" s="12">
        <f t="shared" si="27"/>
        <v>0</v>
      </c>
      <c r="K553" s="14"/>
    </row>
    <row r="554" spans="1:11" ht="14.5" x14ac:dyDescent="0.3">
      <c r="A554" s="37">
        <v>546</v>
      </c>
      <c r="B554" s="40" t="s">
        <v>231</v>
      </c>
      <c r="C554" s="38" t="s">
        <v>229</v>
      </c>
      <c r="D554" s="37" t="s">
        <v>12</v>
      </c>
      <c r="E554" s="39">
        <v>0</v>
      </c>
      <c r="F554" s="41">
        <v>1352</v>
      </c>
      <c r="G554" s="12"/>
      <c r="H554" s="12">
        <f t="shared" si="25"/>
        <v>0</v>
      </c>
      <c r="I554" s="12">
        <f t="shared" si="26"/>
        <v>0</v>
      </c>
      <c r="J554" s="12">
        <f t="shared" si="27"/>
        <v>0</v>
      </c>
      <c r="K554" s="14"/>
    </row>
    <row r="555" spans="1:11" ht="14.5" x14ac:dyDescent="0.3">
      <c r="A555" s="37">
        <v>547</v>
      </c>
      <c r="B555" s="40" t="s">
        <v>221</v>
      </c>
      <c r="C555" s="38" t="s">
        <v>220</v>
      </c>
      <c r="D555" s="37" t="s">
        <v>12</v>
      </c>
      <c r="E555" s="41">
        <v>3800</v>
      </c>
      <c r="F555" s="39">
        <v>0</v>
      </c>
      <c r="G555" s="12"/>
      <c r="H555" s="12">
        <f t="shared" si="25"/>
        <v>0</v>
      </c>
      <c r="I555" s="12">
        <f t="shared" si="26"/>
        <v>0</v>
      </c>
      <c r="J555" s="12">
        <f t="shared" si="27"/>
        <v>0</v>
      </c>
      <c r="K555" s="14"/>
    </row>
    <row r="556" spans="1:11" ht="14.5" x14ac:dyDescent="0.3">
      <c r="A556" s="37">
        <v>548</v>
      </c>
      <c r="B556" s="37" t="s">
        <v>222</v>
      </c>
      <c r="C556" s="38" t="s">
        <v>220</v>
      </c>
      <c r="D556" s="37" t="s">
        <v>12</v>
      </c>
      <c r="E556" s="39">
        <v>0</v>
      </c>
      <c r="F556" s="39">
        <v>1300</v>
      </c>
      <c r="G556" s="12"/>
      <c r="H556" s="12">
        <f t="shared" si="25"/>
        <v>0</v>
      </c>
      <c r="I556" s="12">
        <f t="shared" si="26"/>
        <v>0</v>
      </c>
      <c r="J556" s="12">
        <f t="shared" si="27"/>
        <v>0</v>
      </c>
      <c r="K556" s="14"/>
    </row>
    <row r="557" spans="1:11" ht="14.5" x14ac:dyDescent="0.3">
      <c r="A557" s="37">
        <v>549</v>
      </c>
      <c r="B557" s="40" t="s">
        <v>722</v>
      </c>
      <c r="C557" s="38" t="s">
        <v>721</v>
      </c>
      <c r="D557" s="37" t="s">
        <v>91</v>
      </c>
      <c r="E557" s="39">
        <v>130390</v>
      </c>
      <c r="F557" s="41">
        <v>0</v>
      </c>
      <c r="G557" s="12"/>
      <c r="H557" s="12">
        <f t="shared" si="25"/>
        <v>0</v>
      </c>
      <c r="I557" s="12">
        <f t="shared" si="26"/>
        <v>0</v>
      </c>
      <c r="J557" s="12">
        <f t="shared" si="27"/>
        <v>0</v>
      </c>
      <c r="K557" s="14"/>
    </row>
    <row r="558" spans="1:11" ht="14.5" x14ac:dyDescent="0.3">
      <c r="A558" s="37">
        <v>550</v>
      </c>
      <c r="B558" s="40" t="s">
        <v>723</v>
      </c>
      <c r="C558" s="38" t="s">
        <v>721</v>
      </c>
      <c r="D558" s="37" t="s">
        <v>91</v>
      </c>
      <c r="E558" s="41">
        <v>0</v>
      </c>
      <c r="F558" s="39">
        <v>52070</v>
      </c>
      <c r="G558" s="12"/>
      <c r="H558" s="12">
        <f t="shared" si="25"/>
        <v>0</v>
      </c>
      <c r="I558" s="12">
        <f t="shared" si="26"/>
        <v>0</v>
      </c>
      <c r="J558" s="12">
        <f t="shared" si="27"/>
        <v>0</v>
      </c>
      <c r="K558" s="14"/>
    </row>
    <row r="559" spans="1:11" ht="29" x14ac:dyDescent="0.3">
      <c r="A559" s="37">
        <v>551</v>
      </c>
      <c r="B559" s="37" t="s">
        <v>242</v>
      </c>
      <c r="C559" s="38" t="s">
        <v>241</v>
      </c>
      <c r="D559" s="37" t="s">
        <v>13</v>
      </c>
      <c r="E559" s="39">
        <v>30000</v>
      </c>
      <c r="F559" s="39">
        <v>0</v>
      </c>
      <c r="G559" s="12"/>
      <c r="H559" s="12">
        <f t="shared" si="25"/>
        <v>0</v>
      </c>
      <c r="I559" s="12">
        <f t="shared" si="26"/>
        <v>0</v>
      </c>
      <c r="J559" s="12">
        <f t="shared" si="27"/>
        <v>0</v>
      </c>
      <c r="K559" s="14"/>
    </row>
    <row r="560" spans="1:11" ht="29" x14ac:dyDescent="0.3">
      <c r="A560" s="37">
        <v>552</v>
      </c>
      <c r="B560" s="40" t="s">
        <v>243</v>
      </c>
      <c r="C560" s="38" t="s">
        <v>241</v>
      </c>
      <c r="D560" s="37" t="s">
        <v>13</v>
      </c>
      <c r="E560" s="39">
        <v>0</v>
      </c>
      <c r="F560" s="41">
        <v>2888</v>
      </c>
      <c r="G560" s="12"/>
      <c r="H560" s="12">
        <f t="shared" si="25"/>
        <v>0</v>
      </c>
      <c r="I560" s="12">
        <f t="shared" si="26"/>
        <v>0</v>
      </c>
      <c r="J560" s="12">
        <f t="shared" si="27"/>
        <v>0</v>
      </c>
      <c r="K560" s="14"/>
    </row>
    <row r="561" spans="1:11" ht="29" x14ac:dyDescent="0.3">
      <c r="A561" s="37">
        <v>553</v>
      </c>
      <c r="B561" s="40" t="s">
        <v>233</v>
      </c>
      <c r="C561" s="38" t="s">
        <v>232</v>
      </c>
      <c r="D561" s="37" t="s">
        <v>13</v>
      </c>
      <c r="E561" s="41">
        <v>30500</v>
      </c>
      <c r="F561" s="39">
        <v>0</v>
      </c>
      <c r="G561" s="12"/>
      <c r="H561" s="12">
        <f t="shared" si="25"/>
        <v>0</v>
      </c>
      <c r="I561" s="12">
        <f t="shared" si="26"/>
        <v>0</v>
      </c>
      <c r="J561" s="12">
        <f t="shared" si="27"/>
        <v>0</v>
      </c>
      <c r="K561" s="14"/>
    </row>
    <row r="562" spans="1:11" ht="29" x14ac:dyDescent="0.3">
      <c r="A562" s="37">
        <v>554</v>
      </c>
      <c r="B562" s="37" t="s">
        <v>234</v>
      </c>
      <c r="C562" s="38" t="s">
        <v>232</v>
      </c>
      <c r="D562" s="37" t="s">
        <v>13</v>
      </c>
      <c r="E562" s="39">
        <v>0</v>
      </c>
      <c r="F562" s="39">
        <v>2730</v>
      </c>
      <c r="G562" s="12"/>
      <c r="H562" s="12">
        <f t="shared" si="25"/>
        <v>0</v>
      </c>
      <c r="I562" s="12">
        <f t="shared" si="26"/>
        <v>0</v>
      </c>
      <c r="J562" s="12">
        <f t="shared" si="27"/>
        <v>0</v>
      </c>
      <c r="K562" s="14"/>
    </row>
    <row r="563" spans="1:11" ht="29" x14ac:dyDescent="0.3">
      <c r="A563" s="37">
        <v>555</v>
      </c>
      <c r="B563" s="40" t="s">
        <v>224</v>
      </c>
      <c r="C563" s="38" t="s">
        <v>223</v>
      </c>
      <c r="D563" s="37" t="s">
        <v>13</v>
      </c>
      <c r="E563" s="39">
        <v>30500</v>
      </c>
      <c r="F563" s="41">
        <v>0</v>
      </c>
      <c r="G563" s="12"/>
      <c r="H563" s="12">
        <f t="shared" si="25"/>
        <v>0</v>
      </c>
      <c r="I563" s="12">
        <f t="shared" si="26"/>
        <v>0</v>
      </c>
      <c r="J563" s="12">
        <f t="shared" si="27"/>
        <v>0</v>
      </c>
      <c r="K563" s="14"/>
    </row>
    <row r="564" spans="1:11" ht="29" x14ac:dyDescent="0.3">
      <c r="A564" s="37">
        <v>556</v>
      </c>
      <c r="B564" s="40" t="s">
        <v>225</v>
      </c>
      <c r="C564" s="38" t="s">
        <v>223</v>
      </c>
      <c r="D564" s="37" t="s">
        <v>13</v>
      </c>
      <c r="E564" s="41">
        <v>0</v>
      </c>
      <c r="F564" s="39">
        <v>2730</v>
      </c>
      <c r="G564" s="12"/>
      <c r="H564" s="12">
        <f t="shared" si="25"/>
        <v>0</v>
      </c>
      <c r="I564" s="12">
        <f t="shared" si="26"/>
        <v>0</v>
      </c>
      <c r="J564" s="12">
        <f t="shared" si="27"/>
        <v>0</v>
      </c>
      <c r="K564" s="14"/>
    </row>
    <row r="565" spans="1:11" ht="14.5" x14ac:dyDescent="0.3">
      <c r="A565" s="37">
        <v>557</v>
      </c>
      <c r="B565" s="37" t="s">
        <v>786</v>
      </c>
      <c r="C565" s="38" t="s">
        <v>785</v>
      </c>
      <c r="D565" s="37" t="s">
        <v>91</v>
      </c>
      <c r="E565" s="39">
        <v>20440</v>
      </c>
      <c r="F565" s="39">
        <v>0</v>
      </c>
      <c r="G565" s="12"/>
      <c r="H565" s="12">
        <f t="shared" si="25"/>
        <v>0</v>
      </c>
      <c r="I565" s="12">
        <f t="shared" si="26"/>
        <v>0</v>
      </c>
      <c r="J565" s="12">
        <f t="shared" si="27"/>
        <v>0</v>
      </c>
      <c r="K565" s="14"/>
    </row>
    <row r="566" spans="1:11" ht="14.5" x14ac:dyDescent="0.3">
      <c r="A566" s="37">
        <v>558</v>
      </c>
      <c r="B566" s="40" t="s">
        <v>1143</v>
      </c>
      <c r="C566" s="38" t="s">
        <v>785</v>
      </c>
      <c r="D566" s="37" t="s">
        <v>91</v>
      </c>
      <c r="E566" s="39">
        <v>0</v>
      </c>
      <c r="F566" s="41">
        <v>0</v>
      </c>
      <c r="G566" s="12"/>
      <c r="H566" s="12">
        <f t="shared" si="25"/>
        <v>0</v>
      </c>
      <c r="I566" s="12">
        <f t="shared" si="26"/>
        <v>0</v>
      </c>
      <c r="J566" s="12">
        <f t="shared" si="27"/>
        <v>0</v>
      </c>
      <c r="K566" s="14"/>
    </row>
    <row r="567" spans="1:11" ht="29" x14ac:dyDescent="0.3">
      <c r="A567" s="37">
        <v>559</v>
      </c>
      <c r="B567" s="40" t="s">
        <v>876</v>
      </c>
      <c r="C567" s="38" t="s">
        <v>875</v>
      </c>
      <c r="D567" s="37" t="s">
        <v>101</v>
      </c>
      <c r="E567" s="41">
        <v>16000</v>
      </c>
      <c r="F567" s="39">
        <v>0</v>
      </c>
      <c r="G567" s="12"/>
      <c r="H567" s="12">
        <f t="shared" si="25"/>
        <v>0</v>
      </c>
      <c r="I567" s="12">
        <f t="shared" si="26"/>
        <v>0</v>
      </c>
      <c r="J567" s="12">
        <f t="shared" si="27"/>
        <v>0</v>
      </c>
      <c r="K567" s="14"/>
    </row>
    <row r="568" spans="1:11" ht="29" x14ac:dyDescent="0.3">
      <c r="A568" s="37">
        <v>560</v>
      </c>
      <c r="B568" s="37" t="s">
        <v>877</v>
      </c>
      <c r="C568" s="38" t="s">
        <v>875</v>
      </c>
      <c r="D568" s="37" t="s">
        <v>101</v>
      </c>
      <c r="E568" s="39">
        <v>0</v>
      </c>
      <c r="F568" s="39">
        <v>55886</v>
      </c>
      <c r="G568" s="12"/>
      <c r="H568" s="12">
        <f t="shared" si="25"/>
        <v>0</v>
      </c>
      <c r="I568" s="12">
        <f t="shared" si="26"/>
        <v>0</v>
      </c>
      <c r="J568" s="12">
        <f t="shared" si="27"/>
        <v>0</v>
      </c>
      <c r="K568" s="14"/>
    </row>
    <row r="569" spans="1:11" ht="14.5" x14ac:dyDescent="0.3">
      <c r="A569" s="37">
        <v>561</v>
      </c>
      <c r="B569" s="40" t="s">
        <v>885</v>
      </c>
      <c r="C569" s="38" t="s">
        <v>884</v>
      </c>
      <c r="D569" s="37" t="s">
        <v>740</v>
      </c>
      <c r="E569" s="39">
        <v>21600</v>
      </c>
      <c r="F569" s="41">
        <v>0</v>
      </c>
      <c r="G569" s="12"/>
      <c r="H569" s="12">
        <f t="shared" si="25"/>
        <v>0</v>
      </c>
      <c r="I569" s="12">
        <f t="shared" si="26"/>
        <v>0</v>
      </c>
      <c r="J569" s="12">
        <f t="shared" si="27"/>
        <v>0</v>
      </c>
      <c r="K569" s="14"/>
    </row>
    <row r="570" spans="1:11" ht="14.5" x14ac:dyDescent="0.3">
      <c r="A570" s="37">
        <v>562</v>
      </c>
      <c r="B570" s="40" t="s">
        <v>886</v>
      </c>
      <c r="C570" s="38" t="s">
        <v>884</v>
      </c>
      <c r="D570" s="37" t="s">
        <v>740</v>
      </c>
      <c r="E570" s="41">
        <v>0</v>
      </c>
      <c r="F570" s="39">
        <v>12000</v>
      </c>
      <c r="G570" s="12"/>
      <c r="H570" s="12">
        <f t="shared" si="25"/>
        <v>0</v>
      </c>
      <c r="I570" s="12">
        <f t="shared" si="26"/>
        <v>0</v>
      </c>
      <c r="J570" s="12">
        <f t="shared" si="27"/>
        <v>0</v>
      </c>
      <c r="K570" s="14"/>
    </row>
    <row r="571" spans="1:11" ht="14.5" x14ac:dyDescent="0.3">
      <c r="A571" s="37">
        <v>563</v>
      </c>
      <c r="B571" s="37" t="s">
        <v>888</v>
      </c>
      <c r="C571" s="38" t="s">
        <v>887</v>
      </c>
      <c r="D571" s="37" t="s">
        <v>740</v>
      </c>
      <c r="E571" s="39">
        <v>35000</v>
      </c>
      <c r="F571" s="39">
        <v>0</v>
      </c>
      <c r="G571" s="12"/>
      <c r="H571" s="12">
        <f t="shared" si="25"/>
        <v>0</v>
      </c>
      <c r="I571" s="12">
        <f t="shared" si="26"/>
        <v>0</v>
      </c>
      <c r="J571" s="12">
        <f t="shared" si="27"/>
        <v>0</v>
      </c>
      <c r="K571" s="14"/>
    </row>
    <row r="572" spans="1:11" ht="14.5" x14ac:dyDescent="0.3">
      <c r="A572" s="37">
        <v>564</v>
      </c>
      <c r="B572" s="40" t="s">
        <v>889</v>
      </c>
      <c r="C572" s="38" t="s">
        <v>887</v>
      </c>
      <c r="D572" s="37" t="s">
        <v>740</v>
      </c>
      <c r="E572" s="39">
        <v>0</v>
      </c>
      <c r="F572" s="41">
        <v>12000</v>
      </c>
      <c r="G572" s="12"/>
      <c r="H572" s="12">
        <f t="shared" si="25"/>
        <v>0</v>
      </c>
      <c r="I572" s="12">
        <f t="shared" si="26"/>
        <v>0</v>
      </c>
      <c r="J572" s="12">
        <f t="shared" si="27"/>
        <v>0</v>
      </c>
      <c r="K572" s="14"/>
    </row>
    <row r="573" spans="1:11" ht="29" x14ac:dyDescent="0.3">
      <c r="A573" s="37">
        <v>565</v>
      </c>
      <c r="B573" s="40" t="s">
        <v>768</v>
      </c>
      <c r="C573" s="38" t="s">
        <v>767</v>
      </c>
      <c r="D573" s="37" t="s">
        <v>13</v>
      </c>
      <c r="E573" s="41">
        <v>19250</v>
      </c>
      <c r="F573" s="39">
        <v>0</v>
      </c>
      <c r="G573" s="12"/>
      <c r="H573" s="12">
        <f t="shared" si="25"/>
        <v>0</v>
      </c>
      <c r="I573" s="12">
        <f t="shared" si="26"/>
        <v>0</v>
      </c>
      <c r="J573" s="12">
        <f t="shared" si="27"/>
        <v>0</v>
      </c>
      <c r="K573" s="14"/>
    </row>
    <row r="574" spans="1:11" ht="29" x14ac:dyDescent="0.3">
      <c r="A574" s="37">
        <v>566</v>
      </c>
      <c r="B574" s="37" t="s">
        <v>769</v>
      </c>
      <c r="C574" s="38" t="s">
        <v>767</v>
      </c>
      <c r="D574" s="37" t="s">
        <v>13</v>
      </c>
      <c r="E574" s="39">
        <v>0</v>
      </c>
      <c r="F574" s="39">
        <v>10871</v>
      </c>
      <c r="G574" s="12"/>
      <c r="H574" s="12">
        <f t="shared" si="25"/>
        <v>0</v>
      </c>
      <c r="I574" s="12">
        <f t="shared" si="26"/>
        <v>0</v>
      </c>
      <c r="J574" s="12">
        <f t="shared" si="27"/>
        <v>0</v>
      </c>
      <c r="K574" s="14"/>
    </row>
    <row r="575" spans="1:11" ht="58" x14ac:dyDescent="0.3">
      <c r="A575" s="37">
        <v>567</v>
      </c>
      <c r="B575" s="40" t="s">
        <v>915</v>
      </c>
      <c r="C575" s="38" t="s">
        <v>914</v>
      </c>
      <c r="D575" s="37" t="s">
        <v>101</v>
      </c>
      <c r="E575" s="39">
        <v>6467350</v>
      </c>
      <c r="F575" s="41">
        <v>0</v>
      </c>
      <c r="G575" s="12"/>
      <c r="H575" s="12">
        <f t="shared" si="25"/>
        <v>0</v>
      </c>
      <c r="I575" s="12">
        <f t="shared" si="26"/>
        <v>0</v>
      </c>
      <c r="J575" s="12">
        <f t="shared" si="27"/>
        <v>0</v>
      </c>
      <c r="K575" s="14"/>
    </row>
    <row r="576" spans="1:11" ht="58" x14ac:dyDescent="0.3">
      <c r="A576" s="37">
        <v>568</v>
      </c>
      <c r="B576" s="40" t="s">
        <v>916</v>
      </c>
      <c r="C576" s="38" t="s">
        <v>914</v>
      </c>
      <c r="D576" s="37" t="s">
        <v>101</v>
      </c>
      <c r="E576" s="41">
        <v>0</v>
      </c>
      <c r="F576" s="39">
        <v>1550450</v>
      </c>
      <c r="G576" s="12"/>
      <c r="H576" s="12">
        <f t="shared" si="25"/>
        <v>0</v>
      </c>
      <c r="I576" s="12">
        <f t="shared" si="26"/>
        <v>0</v>
      </c>
      <c r="J576" s="12">
        <f t="shared" si="27"/>
        <v>0</v>
      </c>
      <c r="K576" s="14"/>
    </row>
    <row r="577" spans="1:11" ht="29" x14ac:dyDescent="0.3">
      <c r="A577" s="37">
        <v>569</v>
      </c>
      <c r="B577" s="37" t="s">
        <v>351</v>
      </c>
      <c r="C577" s="38" t="s">
        <v>350</v>
      </c>
      <c r="D577" s="37" t="s">
        <v>12</v>
      </c>
      <c r="E577" s="39">
        <v>23800</v>
      </c>
      <c r="F577" s="39">
        <v>0</v>
      </c>
      <c r="G577" s="12"/>
      <c r="H577" s="12">
        <f t="shared" si="25"/>
        <v>0</v>
      </c>
      <c r="I577" s="12">
        <f t="shared" si="26"/>
        <v>0</v>
      </c>
      <c r="J577" s="12">
        <f t="shared" si="27"/>
        <v>0</v>
      </c>
      <c r="K577" s="14"/>
    </row>
    <row r="578" spans="1:11" ht="29" x14ac:dyDescent="0.3">
      <c r="A578" s="37">
        <v>570</v>
      </c>
      <c r="B578" s="40" t="s">
        <v>352</v>
      </c>
      <c r="C578" s="38" t="s">
        <v>350</v>
      </c>
      <c r="D578" s="37" t="s">
        <v>12</v>
      </c>
      <c r="E578" s="41">
        <v>0</v>
      </c>
      <c r="F578" s="39">
        <v>3634</v>
      </c>
      <c r="G578" s="12"/>
      <c r="H578" s="12">
        <f t="shared" si="25"/>
        <v>0</v>
      </c>
      <c r="I578" s="12">
        <f t="shared" si="26"/>
        <v>0</v>
      </c>
      <c r="J578" s="12">
        <f t="shared" si="27"/>
        <v>0</v>
      </c>
      <c r="K578" s="14"/>
    </row>
    <row r="579" spans="1:11" ht="29" x14ac:dyDescent="0.3">
      <c r="A579" s="37">
        <v>571</v>
      </c>
      <c r="B579" s="37" t="s">
        <v>793</v>
      </c>
      <c r="C579" s="38" t="s">
        <v>792</v>
      </c>
      <c r="D579" s="37" t="s">
        <v>712</v>
      </c>
      <c r="E579" s="39">
        <v>23517</v>
      </c>
      <c r="F579" s="39">
        <v>0</v>
      </c>
      <c r="G579" s="12"/>
      <c r="H579" s="12">
        <f t="shared" si="25"/>
        <v>0</v>
      </c>
      <c r="I579" s="12">
        <f t="shared" si="26"/>
        <v>0</v>
      </c>
      <c r="J579" s="12">
        <f t="shared" si="27"/>
        <v>0</v>
      </c>
      <c r="K579" s="14"/>
    </row>
    <row r="580" spans="1:11" ht="29" x14ac:dyDescent="0.3">
      <c r="A580" s="37">
        <v>572</v>
      </c>
      <c r="B580" s="40" t="s">
        <v>794</v>
      </c>
      <c r="C580" s="38" t="s">
        <v>792</v>
      </c>
      <c r="D580" s="37" t="s">
        <v>712</v>
      </c>
      <c r="E580" s="39">
        <v>0</v>
      </c>
      <c r="F580" s="41">
        <v>3844</v>
      </c>
      <c r="G580" s="12"/>
      <c r="H580" s="12">
        <f t="shared" si="25"/>
        <v>0</v>
      </c>
      <c r="I580" s="12">
        <f t="shared" si="26"/>
        <v>0</v>
      </c>
      <c r="J580" s="12">
        <f t="shared" si="27"/>
        <v>0</v>
      </c>
      <c r="K580" s="14"/>
    </row>
    <row r="581" spans="1:11" ht="29" x14ac:dyDescent="0.3">
      <c r="A581" s="37">
        <v>573</v>
      </c>
      <c r="B581" s="40" t="s">
        <v>930</v>
      </c>
      <c r="C581" s="38" t="s">
        <v>929</v>
      </c>
      <c r="D581" s="37" t="s">
        <v>17</v>
      </c>
      <c r="E581" s="41">
        <v>79000</v>
      </c>
      <c r="F581" s="39">
        <v>0</v>
      </c>
      <c r="G581" s="12"/>
      <c r="H581" s="12">
        <f t="shared" si="25"/>
        <v>0</v>
      </c>
      <c r="I581" s="12">
        <f t="shared" si="26"/>
        <v>0</v>
      </c>
      <c r="J581" s="12">
        <f t="shared" si="27"/>
        <v>0</v>
      </c>
      <c r="K581" s="14"/>
    </row>
    <row r="582" spans="1:11" ht="29" x14ac:dyDescent="0.3">
      <c r="A582" s="37">
        <v>574</v>
      </c>
      <c r="B582" s="37" t="s">
        <v>931</v>
      </c>
      <c r="C582" s="38" t="s">
        <v>929</v>
      </c>
      <c r="D582" s="37" t="s">
        <v>17</v>
      </c>
      <c r="E582" s="39">
        <v>0</v>
      </c>
      <c r="F582" s="39">
        <v>29800</v>
      </c>
      <c r="G582" s="12"/>
      <c r="H582" s="12">
        <f t="shared" si="25"/>
        <v>0</v>
      </c>
      <c r="I582" s="12">
        <f t="shared" si="26"/>
        <v>0</v>
      </c>
      <c r="J582" s="12">
        <f t="shared" si="27"/>
        <v>0</v>
      </c>
      <c r="K582" s="14"/>
    </row>
    <row r="583" spans="1:11" ht="29" x14ac:dyDescent="0.3">
      <c r="A583" s="37">
        <v>575</v>
      </c>
      <c r="B583" s="40" t="s">
        <v>638</v>
      </c>
      <c r="C583" s="38" t="s">
        <v>1177</v>
      </c>
      <c r="D583" s="37" t="s">
        <v>637</v>
      </c>
      <c r="E583" s="39">
        <v>0</v>
      </c>
      <c r="F583" s="41">
        <v>1</v>
      </c>
      <c r="G583" s="12"/>
      <c r="H583" s="12">
        <f t="shared" si="25"/>
        <v>0</v>
      </c>
      <c r="I583" s="12">
        <f t="shared" si="26"/>
        <v>0</v>
      </c>
      <c r="J583" s="12">
        <f t="shared" si="27"/>
        <v>0</v>
      </c>
      <c r="K583" s="14"/>
    </row>
    <row r="584" spans="1:11" ht="29" x14ac:dyDescent="0.3">
      <c r="A584" s="37">
        <v>576</v>
      </c>
      <c r="B584" s="40" t="s">
        <v>706</v>
      </c>
      <c r="C584" s="38" t="s">
        <v>705</v>
      </c>
      <c r="D584" s="37" t="s">
        <v>101</v>
      </c>
      <c r="E584" s="41">
        <v>323</v>
      </c>
      <c r="F584" s="39">
        <v>0</v>
      </c>
      <c r="G584" s="12"/>
      <c r="H584" s="12">
        <f t="shared" si="25"/>
        <v>0</v>
      </c>
      <c r="I584" s="12">
        <f t="shared" si="26"/>
        <v>0</v>
      </c>
      <c r="J584" s="12">
        <f t="shared" si="27"/>
        <v>0</v>
      </c>
      <c r="K584" s="14"/>
    </row>
    <row r="585" spans="1:11" ht="29" x14ac:dyDescent="0.3">
      <c r="A585" s="37">
        <v>577</v>
      </c>
      <c r="B585" s="37" t="s">
        <v>707</v>
      </c>
      <c r="C585" s="38" t="s">
        <v>705</v>
      </c>
      <c r="D585" s="37" t="s">
        <v>101</v>
      </c>
      <c r="E585" s="39">
        <v>0</v>
      </c>
      <c r="F585" s="39">
        <v>495</v>
      </c>
      <c r="G585" s="12"/>
      <c r="H585" s="12">
        <f t="shared" si="25"/>
        <v>0</v>
      </c>
      <c r="I585" s="12">
        <f t="shared" si="26"/>
        <v>0</v>
      </c>
      <c r="J585" s="12">
        <f t="shared" si="27"/>
        <v>0</v>
      </c>
      <c r="K585" s="14"/>
    </row>
    <row r="586" spans="1:11" ht="29" x14ac:dyDescent="0.3">
      <c r="A586" s="37">
        <v>578</v>
      </c>
      <c r="B586" s="40" t="s">
        <v>310</v>
      </c>
      <c r="C586" s="38" t="s">
        <v>309</v>
      </c>
      <c r="D586" s="37" t="s">
        <v>13</v>
      </c>
      <c r="E586" s="39">
        <v>399685</v>
      </c>
      <c r="F586" s="41">
        <v>0</v>
      </c>
      <c r="G586" s="12"/>
      <c r="H586" s="12">
        <f t="shared" ref="H586:H649" si="28">E586*G586</f>
        <v>0</v>
      </c>
      <c r="I586" s="12">
        <f t="shared" ref="I586:I649" si="29">F586*G586</f>
        <v>0</v>
      </c>
      <c r="J586" s="12">
        <f t="shared" ref="J586:J649" si="30">SUM(H586:I586)</f>
        <v>0</v>
      </c>
      <c r="K586" s="14"/>
    </row>
    <row r="587" spans="1:11" ht="29" x14ac:dyDescent="0.3">
      <c r="A587" s="37">
        <v>579</v>
      </c>
      <c r="B587" s="40" t="s">
        <v>311</v>
      </c>
      <c r="C587" s="38" t="s">
        <v>309</v>
      </c>
      <c r="D587" s="37" t="s">
        <v>13</v>
      </c>
      <c r="E587" s="41">
        <v>0</v>
      </c>
      <c r="F587" s="39">
        <v>30575</v>
      </c>
      <c r="G587" s="12"/>
      <c r="H587" s="12">
        <f t="shared" si="28"/>
        <v>0</v>
      </c>
      <c r="I587" s="12">
        <f t="shared" si="29"/>
        <v>0</v>
      </c>
      <c r="J587" s="12">
        <f t="shared" si="30"/>
        <v>0</v>
      </c>
      <c r="K587" s="14"/>
    </row>
    <row r="588" spans="1:11" ht="29" x14ac:dyDescent="0.3">
      <c r="A588" s="37">
        <v>580</v>
      </c>
      <c r="B588" s="37" t="s">
        <v>313</v>
      </c>
      <c r="C588" s="38" t="s">
        <v>312</v>
      </c>
      <c r="D588" s="37" t="s">
        <v>13</v>
      </c>
      <c r="E588" s="39">
        <v>324553</v>
      </c>
      <c r="F588" s="39">
        <v>0</v>
      </c>
      <c r="G588" s="12"/>
      <c r="H588" s="12">
        <f t="shared" si="28"/>
        <v>0</v>
      </c>
      <c r="I588" s="12">
        <f t="shared" si="29"/>
        <v>0</v>
      </c>
      <c r="J588" s="12">
        <f t="shared" si="30"/>
        <v>0</v>
      </c>
      <c r="K588" s="14"/>
    </row>
    <row r="589" spans="1:11" ht="29" x14ac:dyDescent="0.3">
      <c r="A589" s="37">
        <v>581</v>
      </c>
      <c r="B589" s="40" t="s">
        <v>314</v>
      </c>
      <c r="C589" s="38" t="s">
        <v>312</v>
      </c>
      <c r="D589" s="37" t="s">
        <v>13</v>
      </c>
      <c r="E589" s="41">
        <v>0</v>
      </c>
      <c r="F589" s="39">
        <v>30575</v>
      </c>
      <c r="G589" s="12"/>
      <c r="H589" s="12">
        <f t="shared" si="28"/>
        <v>0</v>
      </c>
      <c r="I589" s="12">
        <f t="shared" si="29"/>
        <v>0</v>
      </c>
      <c r="J589" s="12">
        <f t="shared" si="30"/>
        <v>0</v>
      </c>
      <c r="K589" s="14"/>
    </row>
    <row r="590" spans="1:11" ht="29" x14ac:dyDescent="0.3">
      <c r="A590" s="37">
        <v>582</v>
      </c>
      <c r="B590" s="37" t="s">
        <v>298</v>
      </c>
      <c r="C590" s="38" t="s">
        <v>297</v>
      </c>
      <c r="D590" s="37" t="s">
        <v>13</v>
      </c>
      <c r="E590" s="39">
        <v>245196</v>
      </c>
      <c r="F590" s="39">
        <v>0</v>
      </c>
      <c r="G590" s="12"/>
      <c r="H590" s="12">
        <f t="shared" si="28"/>
        <v>0</v>
      </c>
      <c r="I590" s="12">
        <f t="shared" si="29"/>
        <v>0</v>
      </c>
      <c r="J590" s="12">
        <f t="shared" si="30"/>
        <v>0</v>
      </c>
      <c r="K590" s="14"/>
    </row>
    <row r="591" spans="1:11" ht="29" x14ac:dyDescent="0.3">
      <c r="A591" s="37">
        <v>583</v>
      </c>
      <c r="B591" s="40" t="s">
        <v>299</v>
      </c>
      <c r="C591" s="38" t="s">
        <v>297</v>
      </c>
      <c r="D591" s="37" t="s">
        <v>13</v>
      </c>
      <c r="E591" s="39">
        <v>0</v>
      </c>
      <c r="F591" s="41">
        <v>30575</v>
      </c>
      <c r="G591" s="12"/>
      <c r="H591" s="12">
        <f t="shared" si="28"/>
        <v>0</v>
      </c>
      <c r="I591" s="12">
        <f t="shared" si="29"/>
        <v>0</v>
      </c>
      <c r="J591" s="12">
        <f t="shared" si="30"/>
        <v>0</v>
      </c>
      <c r="K591" s="14"/>
    </row>
    <row r="592" spans="1:11" ht="29" x14ac:dyDescent="0.3">
      <c r="A592" s="37">
        <v>584</v>
      </c>
      <c r="B592" s="40" t="s">
        <v>325</v>
      </c>
      <c r="C592" s="38" t="s">
        <v>324</v>
      </c>
      <c r="D592" s="37" t="s">
        <v>13</v>
      </c>
      <c r="E592" s="41">
        <v>1376000</v>
      </c>
      <c r="F592" s="39">
        <v>0</v>
      </c>
      <c r="G592" s="12"/>
      <c r="H592" s="12">
        <f t="shared" si="28"/>
        <v>0</v>
      </c>
      <c r="I592" s="12">
        <f t="shared" si="29"/>
        <v>0</v>
      </c>
      <c r="J592" s="12">
        <f t="shared" si="30"/>
        <v>0</v>
      </c>
      <c r="K592" s="14"/>
    </row>
    <row r="593" spans="1:11" ht="29" x14ac:dyDescent="0.3">
      <c r="A593" s="37">
        <v>585</v>
      </c>
      <c r="B593" s="37" t="s">
        <v>326</v>
      </c>
      <c r="C593" s="38" t="s">
        <v>324</v>
      </c>
      <c r="D593" s="37" t="s">
        <v>13</v>
      </c>
      <c r="E593" s="39">
        <v>0</v>
      </c>
      <c r="F593" s="39">
        <v>35000</v>
      </c>
      <c r="G593" s="12"/>
      <c r="H593" s="12">
        <f t="shared" si="28"/>
        <v>0</v>
      </c>
      <c r="I593" s="12">
        <f t="shared" si="29"/>
        <v>0</v>
      </c>
      <c r="J593" s="12">
        <f t="shared" si="30"/>
        <v>0</v>
      </c>
      <c r="K593" s="14"/>
    </row>
    <row r="594" spans="1:11" ht="29" x14ac:dyDescent="0.3">
      <c r="A594" s="37">
        <v>586</v>
      </c>
      <c r="B594" s="40" t="s">
        <v>301</v>
      </c>
      <c r="C594" s="38" t="s">
        <v>300</v>
      </c>
      <c r="D594" s="37" t="s">
        <v>13</v>
      </c>
      <c r="E594" s="39">
        <v>314550</v>
      </c>
      <c r="F594" s="41">
        <v>0</v>
      </c>
      <c r="G594" s="12"/>
      <c r="H594" s="12">
        <f t="shared" si="28"/>
        <v>0</v>
      </c>
      <c r="I594" s="12">
        <f t="shared" si="29"/>
        <v>0</v>
      </c>
      <c r="J594" s="12">
        <f t="shared" si="30"/>
        <v>0</v>
      </c>
      <c r="K594" s="14"/>
    </row>
    <row r="595" spans="1:11" ht="29" x14ac:dyDescent="0.3">
      <c r="A595" s="37">
        <v>587</v>
      </c>
      <c r="B595" s="40" t="s">
        <v>302</v>
      </c>
      <c r="C595" s="38" t="s">
        <v>300</v>
      </c>
      <c r="D595" s="37" t="s">
        <v>13</v>
      </c>
      <c r="E595" s="41">
        <v>0</v>
      </c>
      <c r="F595" s="39">
        <v>32341</v>
      </c>
      <c r="G595" s="12"/>
      <c r="H595" s="12">
        <f t="shared" si="28"/>
        <v>0</v>
      </c>
      <c r="I595" s="12">
        <f t="shared" si="29"/>
        <v>0</v>
      </c>
      <c r="J595" s="12">
        <f t="shared" si="30"/>
        <v>0</v>
      </c>
      <c r="K595" s="14"/>
    </row>
    <row r="596" spans="1:11" ht="29" x14ac:dyDescent="0.3">
      <c r="A596" s="37">
        <v>588</v>
      </c>
      <c r="B596" s="37" t="s">
        <v>1119</v>
      </c>
      <c r="C596" s="38" t="s">
        <v>1170</v>
      </c>
      <c r="D596" s="37" t="s">
        <v>101</v>
      </c>
      <c r="E596" s="39">
        <v>237751</v>
      </c>
      <c r="F596" s="39">
        <v>0</v>
      </c>
      <c r="G596" s="12"/>
      <c r="H596" s="12">
        <f t="shared" si="28"/>
        <v>0</v>
      </c>
      <c r="I596" s="12">
        <f t="shared" si="29"/>
        <v>0</v>
      </c>
      <c r="J596" s="12">
        <f t="shared" si="30"/>
        <v>0</v>
      </c>
      <c r="K596" s="14"/>
    </row>
    <row r="597" spans="1:11" ht="29" x14ac:dyDescent="0.3">
      <c r="A597" s="37">
        <v>589</v>
      </c>
      <c r="B597" s="40" t="s">
        <v>1144</v>
      </c>
      <c r="C597" s="38" t="s">
        <v>1170</v>
      </c>
      <c r="D597" s="37" t="s">
        <v>101</v>
      </c>
      <c r="E597" s="39">
        <v>0</v>
      </c>
      <c r="F597" s="41">
        <v>30575</v>
      </c>
      <c r="G597" s="12"/>
      <c r="H597" s="12">
        <f t="shared" si="28"/>
        <v>0</v>
      </c>
      <c r="I597" s="12">
        <f t="shared" si="29"/>
        <v>0</v>
      </c>
      <c r="J597" s="12">
        <f t="shared" si="30"/>
        <v>0</v>
      </c>
      <c r="K597" s="14"/>
    </row>
    <row r="598" spans="1:11" ht="29" x14ac:dyDescent="0.3">
      <c r="A598" s="37">
        <v>590</v>
      </c>
      <c r="B598" s="40" t="s">
        <v>304</v>
      </c>
      <c r="C598" s="38" t="s">
        <v>303</v>
      </c>
      <c r="D598" s="37" t="s">
        <v>13</v>
      </c>
      <c r="E598" s="41">
        <v>237751</v>
      </c>
      <c r="F598" s="39">
        <v>0</v>
      </c>
      <c r="G598" s="12"/>
      <c r="H598" s="12">
        <f t="shared" si="28"/>
        <v>0</v>
      </c>
      <c r="I598" s="12">
        <f t="shared" si="29"/>
        <v>0</v>
      </c>
      <c r="J598" s="12">
        <f t="shared" si="30"/>
        <v>0</v>
      </c>
      <c r="K598" s="14"/>
    </row>
    <row r="599" spans="1:11" ht="29" x14ac:dyDescent="0.3">
      <c r="A599" s="37">
        <v>591</v>
      </c>
      <c r="B599" s="37" t="s">
        <v>305</v>
      </c>
      <c r="C599" s="38" t="s">
        <v>303</v>
      </c>
      <c r="D599" s="37" t="s">
        <v>13</v>
      </c>
      <c r="E599" s="39">
        <v>0</v>
      </c>
      <c r="F599" s="42">
        <v>30575</v>
      </c>
      <c r="G599" s="12"/>
      <c r="H599" s="12">
        <f t="shared" si="28"/>
        <v>0</v>
      </c>
      <c r="I599" s="12">
        <f t="shared" si="29"/>
        <v>0</v>
      </c>
      <c r="J599" s="12">
        <f t="shared" si="30"/>
        <v>0</v>
      </c>
      <c r="K599" s="14"/>
    </row>
    <row r="600" spans="1:11" ht="29" x14ac:dyDescent="0.3">
      <c r="A600" s="37">
        <v>592</v>
      </c>
      <c r="B600" s="40" t="s">
        <v>307</v>
      </c>
      <c r="C600" s="38" t="s">
        <v>306</v>
      </c>
      <c r="D600" s="37" t="s">
        <v>13</v>
      </c>
      <c r="E600" s="41">
        <v>193059</v>
      </c>
      <c r="F600" s="42">
        <v>0</v>
      </c>
      <c r="G600" s="12"/>
      <c r="H600" s="12">
        <f t="shared" si="28"/>
        <v>0</v>
      </c>
      <c r="I600" s="12">
        <f t="shared" si="29"/>
        <v>0</v>
      </c>
      <c r="J600" s="12">
        <f t="shared" si="30"/>
        <v>0</v>
      </c>
      <c r="K600" s="14"/>
    </row>
    <row r="601" spans="1:11" ht="29" x14ac:dyDescent="0.3">
      <c r="A601" s="37">
        <v>593</v>
      </c>
      <c r="B601" s="37" t="s">
        <v>308</v>
      </c>
      <c r="C601" s="38" t="s">
        <v>306</v>
      </c>
      <c r="D601" s="37" t="s">
        <v>13</v>
      </c>
      <c r="E601" s="39">
        <v>0</v>
      </c>
      <c r="F601" s="39">
        <v>30575</v>
      </c>
      <c r="G601" s="12"/>
      <c r="H601" s="12">
        <f t="shared" si="28"/>
        <v>0</v>
      </c>
      <c r="I601" s="12">
        <f t="shared" si="29"/>
        <v>0</v>
      </c>
      <c r="J601" s="12">
        <f t="shared" si="30"/>
        <v>0</v>
      </c>
      <c r="K601" s="14"/>
    </row>
    <row r="602" spans="1:11" ht="29" x14ac:dyDescent="0.3">
      <c r="A602" s="37">
        <v>594</v>
      </c>
      <c r="B602" s="40" t="s">
        <v>316</v>
      </c>
      <c r="C602" s="38" t="s">
        <v>315</v>
      </c>
      <c r="D602" s="37" t="s">
        <v>13</v>
      </c>
      <c r="E602" s="39">
        <v>630557</v>
      </c>
      <c r="F602" s="41">
        <v>0</v>
      </c>
      <c r="G602" s="12"/>
      <c r="H602" s="12">
        <f t="shared" si="28"/>
        <v>0</v>
      </c>
      <c r="I602" s="12">
        <f t="shared" si="29"/>
        <v>0</v>
      </c>
      <c r="J602" s="12">
        <f t="shared" si="30"/>
        <v>0</v>
      </c>
      <c r="K602" s="14"/>
    </row>
    <row r="603" spans="1:11" ht="29" x14ac:dyDescent="0.3">
      <c r="A603" s="37">
        <v>595</v>
      </c>
      <c r="B603" s="40" t="s">
        <v>317</v>
      </c>
      <c r="C603" s="38" t="s">
        <v>315</v>
      </c>
      <c r="D603" s="37" t="s">
        <v>13</v>
      </c>
      <c r="E603" s="41">
        <v>0</v>
      </c>
      <c r="F603" s="39">
        <v>30797</v>
      </c>
      <c r="G603" s="12"/>
      <c r="H603" s="12">
        <f t="shared" si="28"/>
        <v>0</v>
      </c>
      <c r="I603" s="12">
        <f t="shared" si="29"/>
        <v>0</v>
      </c>
      <c r="J603" s="12">
        <f t="shared" si="30"/>
        <v>0</v>
      </c>
      <c r="K603" s="14"/>
    </row>
    <row r="604" spans="1:11" ht="29" x14ac:dyDescent="0.3">
      <c r="A604" s="37">
        <v>596</v>
      </c>
      <c r="B604" s="37" t="s">
        <v>319</v>
      </c>
      <c r="C604" s="38" t="s">
        <v>318</v>
      </c>
      <c r="D604" s="37" t="s">
        <v>13</v>
      </c>
      <c r="E604" s="39">
        <v>744264</v>
      </c>
      <c r="F604" s="39">
        <v>0</v>
      </c>
      <c r="G604" s="12"/>
      <c r="H604" s="12">
        <f t="shared" si="28"/>
        <v>0</v>
      </c>
      <c r="I604" s="12">
        <f t="shared" si="29"/>
        <v>0</v>
      </c>
      <c r="J604" s="12">
        <f t="shared" si="30"/>
        <v>0</v>
      </c>
      <c r="K604" s="14"/>
    </row>
    <row r="605" spans="1:11" ht="29" x14ac:dyDescent="0.3">
      <c r="A605" s="37">
        <v>597</v>
      </c>
      <c r="B605" s="40" t="s">
        <v>320</v>
      </c>
      <c r="C605" s="38" t="s">
        <v>318</v>
      </c>
      <c r="D605" s="37" t="s">
        <v>13</v>
      </c>
      <c r="E605" s="39">
        <v>0</v>
      </c>
      <c r="F605" s="41">
        <v>30797</v>
      </c>
      <c r="G605" s="12"/>
      <c r="H605" s="12">
        <f t="shared" si="28"/>
        <v>0</v>
      </c>
      <c r="I605" s="12">
        <f t="shared" si="29"/>
        <v>0</v>
      </c>
      <c r="J605" s="12">
        <f t="shared" si="30"/>
        <v>0</v>
      </c>
      <c r="K605" s="14"/>
    </row>
    <row r="606" spans="1:11" ht="29" x14ac:dyDescent="0.3">
      <c r="A606" s="37">
        <v>598</v>
      </c>
      <c r="B606" s="40" t="s">
        <v>322</v>
      </c>
      <c r="C606" s="38" t="s">
        <v>321</v>
      </c>
      <c r="D606" s="37" t="s">
        <v>13</v>
      </c>
      <c r="E606" s="41">
        <v>720000</v>
      </c>
      <c r="F606" s="39">
        <v>0</v>
      </c>
      <c r="G606" s="12"/>
      <c r="H606" s="12">
        <f t="shared" si="28"/>
        <v>0</v>
      </c>
      <c r="I606" s="12">
        <f t="shared" si="29"/>
        <v>0</v>
      </c>
      <c r="J606" s="12">
        <f t="shared" si="30"/>
        <v>0</v>
      </c>
      <c r="K606" s="14"/>
    </row>
    <row r="607" spans="1:11" ht="29" x14ac:dyDescent="0.3">
      <c r="A607" s="37">
        <v>599</v>
      </c>
      <c r="B607" s="37" t="s">
        <v>323</v>
      </c>
      <c r="C607" s="38" t="s">
        <v>321</v>
      </c>
      <c r="D607" s="37" t="s">
        <v>13</v>
      </c>
      <c r="E607" s="39">
        <v>0</v>
      </c>
      <c r="F607" s="39">
        <v>35000</v>
      </c>
      <c r="G607" s="12"/>
      <c r="H607" s="12">
        <f t="shared" si="28"/>
        <v>0</v>
      </c>
      <c r="I607" s="12">
        <f t="shared" si="29"/>
        <v>0</v>
      </c>
      <c r="J607" s="12">
        <f t="shared" si="30"/>
        <v>0</v>
      </c>
      <c r="K607" s="14"/>
    </row>
    <row r="608" spans="1:11" ht="14.5" x14ac:dyDescent="0.3">
      <c r="A608" s="37">
        <v>600</v>
      </c>
      <c r="B608" s="40" t="s">
        <v>719</v>
      </c>
      <c r="C608" s="38" t="s">
        <v>718</v>
      </c>
      <c r="D608" s="37" t="s">
        <v>91</v>
      </c>
      <c r="E608" s="39">
        <v>28490</v>
      </c>
      <c r="F608" s="41">
        <v>0</v>
      </c>
      <c r="G608" s="12"/>
      <c r="H608" s="12">
        <f t="shared" si="28"/>
        <v>0</v>
      </c>
      <c r="I608" s="12">
        <f t="shared" si="29"/>
        <v>0</v>
      </c>
      <c r="J608" s="12">
        <f t="shared" si="30"/>
        <v>0</v>
      </c>
      <c r="K608" s="14"/>
    </row>
    <row r="609" spans="1:11" ht="14.5" x14ac:dyDescent="0.3">
      <c r="A609" s="37">
        <v>601</v>
      </c>
      <c r="B609" s="40" t="s">
        <v>720</v>
      </c>
      <c r="C609" s="38" t="s">
        <v>718</v>
      </c>
      <c r="D609" s="37" t="s">
        <v>91</v>
      </c>
      <c r="E609" s="41">
        <v>0</v>
      </c>
      <c r="F609" s="39">
        <v>11240</v>
      </c>
      <c r="G609" s="12"/>
      <c r="H609" s="12">
        <f t="shared" si="28"/>
        <v>0</v>
      </c>
      <c r="I609" s="12">
        <f t="shared" si="29"/>
        <v>0</v>
      </c>
      <c r="J609" s="12">
        <f t="shared" si="30"/>
        <v>0</v>
      </c>
      <c r="K609" s="14"/>
    </row>
    <row r="610" spans="1:11" ht="14.5" x14ac:dyDescent="0.3">
      <c r="A610" s="37">
        <v>602</v>
      </c>
      <c r="B610" s="37" t="s">
        <v>949</v>
      </c>
      <c r="C610" s="38" t="s">
        <v>948</v>
      </c>
      <c r="D610" s="37" t="s">
        <v>71</v>
      </c>
      <c r="E610" s="39">
        <v>0</v>
      </c>
      <c r="F610" s="39">
        <v>106720</v>
      </c>
      <c r="G610" s="12"/>
      <c r="H610" s="12">
        <f t="shared" si="28"/>
        <v>0</v>
      </c>
      <c r="I610" s="12">
        <f t="shared" si="29"/>
        <v>0</v>
      </c>
      <c r="J610" s="12">
        <f t="shared" si="30"/>
        <v>0</v>
      </c>
      <c r="K610" s="14"/>
    </row>
    <row r="611" spans="1:11" ht="29" x14ac:dyDescent="0.3">
      <c r="A611" s="37">
        <v>603</v>
      </c>
      <c r="B611" s="40" t="s">
        <v>688</v>
      </c>
      <c r="C611" s="38" t="s">
        <v>96</v>
      </c>
      <c r="D611" s="37" t="s">
        <v>13</v>
      </c>
      <c r="E611" s="39">
        <v>15500</v>
      </c>
      <c r="F611" s="41">
        <v>0</v>
      </c>
      <c r="G611" s="12"/>
      <c r="H611" s="12">
        <f t="shared" si="28"/>
        <v>0</v>
      </c>
      <c r="I611" s="12">
        <f t="shared" si="29"/>
        <v>0</v>
      </c>
      <c r="J611" s="12">
        <f t="shared" si="30"/>
        <v>0</v>
      </c>
      <c r="K611" s="14"/>
    </row>
    <row r="612" spans="1:11" ht="29" x14ac:dyDescent="0.3">
      <c r="A612" s="37">
        <v>604</v>
      </c>
      <c r="B612" s="40" t="s">
        <v>689</v>
      </c>
      <c r="C612" s="38" t="s">
        <v>96</v>
      </c>
      <c r="D612" s="37" t="s">
        <v>13</v>
      </c>
      <c r="E612" s="41">
        <v>0</v>
      </c>
      <c r="F612" s="39">
        <v>7702</v>
      </c>
      <c r="G612" s="12"/>
      <c r="H612" s="12">
        <f t="shared" si="28"/>
        <v>0</v>
      </c>
      <c r="I612" s="12">
        <f t="shared" si="29"/>
        <v>0</v>
      </c>
      <c r="J612" s="12">
        <f t="shared" si="30"/>
        <v>0</v>
      </c>
      <c r="K612" s="14"/>
    </row>
    <row r="613" spans="1:11" ht="29" x14ac:dyDescent="0.3">
      <c r="A613" s="37">
        <v>605</v>
      </c>
      <c r="B613" s="37" t="s">
        <v>692</v>
      </c>
      <c r="C613" s="38" t="s">
        <v>98</v>
      </c>
      <c r="D613" s="37" t="s">
        <v>13</v>
      </c>
      <c r="E613" s="39">
        <v>15498</v>
      </c>
      <c r="F613" s="39">
        <v>0</v>
      </c>
      <c r="G613" s="12"/>
      <c r="H613" s="12">
        <f t="shared" si="28"/>
        <v>0</v>
      </c>
      <c r="I613" s="12">
        <f t="shared" si="29"/>
        <v>0</v>
      </c>
      <c r="J613" s="12">
        <f t="shared" si="30"/>
        <v>0</v>
      </c>
      <c r="K613" s="14"/>
    </row>
    <row r="614" spans="1:11" ht="29" x14ac:dyDescent="0.3">
      <c r="A614" s="37">
        <v>606</v>
      </c>
      <c r="B614" s="40" t="s">
        <v>693</v>
      </c>
      <c r="C614" s="38" t="s">
        <v>98</v>
      </c>
      <c r="D614" s="37" t="s">
        <v>13</v>
      </c>
      <c r="E614" s="39">
        <v>0</v>
      </c>
      <c r="F614" s="41">
        <v>7992</v>
      </c>
      <c r="G614" s="12"/>
      <c r="H614" s="12">
        <f t="shared" si="28"/>
        <v>0</v>
      </c>
      <c r="I614" s="12">
        <f t="shared" si="29"/>
        <v>0</v>
      </c>
      <c r="J614" s="12">
        <f t="shared" si="30"/>
        <v>0</v>
      </c>
      <c r="K614" s="14"/>
    </row>
    <row r="615" spans="1:11" ht="29" x14ac:dyDescent="0.3">
      <c r="A615" s="37">
        <v>607</v>
      </c>
      <c r="B615" s="40" t="s">
        <v>690</v>
      </c>
      <c r="C615" s="38" t="s">
        <v>97</v>
      </c>
      <c r="D615" s="37" t="s">
        <v>13</v>
      </c>
      <c r="E615" s="41">
        <v>15500</v>
      </c>
      <c r="F615" s="39">
        <v>0</v>
      </c>
      <c r="G615" s="12"/>
      <c r="H615" s="12">
        <f t="shared" si="28"/>
        <v>0</v>
      </c>
      <c r="I615" s="12">
        <f t="shared" si="29"/>
        <v>0</v>
      </c>
      <c r="J615" s="12">
        <f t="shared" si="30"/>
        <v>0</v>
      </c>
      <c r="K615" s="14"/>
    </row>
    <row r="616" spans="1:11" ht="29" x14ac:dyDescent="0.3">
      <c r="A616" s="37">
        <v>608</v>
      </c>
      <c r="B616" s="37" t="s">
        <v>691</v>
      </c>
      <c r="C616" s="38" t="s">
        <v>97</v>
      </c>
      <c r="D616" s="37" t="s">
        <v>13</v>
      </c>
      <c r="E616" s="39">
        <v>0</v>
      </c>
      <c r="F616" s="39">
        <v>7903</v>
      </c>
      <c r="G616" s="12"/>
      <c r="H616" s="12">
        <f t="shared" si="28"/>
        <v>0</v>
      </c>
      <c r="I616" s="12">
        <f t="shared" si="29"/>
        <v>0</v>
      </c>
      <c r="J616" s="12">
        <f t="shared" si="30"/>
        <v>0</v>
      </c>
      <c r="K616" s="14"/>
    </row>
    <row r="617" spans="1:11" ht="29" x14ac:dyDescent="0.3">
      <c r="A617" s="37">
        <v>609</v>
      </c>
      <c r="B617" s="40" t="s">
        <v>676</v>
      </c>
      <c r="C617" s="38" t="s">
        <v>102</v>
      </c>
      <c r="D617" s="37" t="s">
        <v>71</v>
      </c>
      <c r="E617" s="41">
        <v>1924673</v>
      </c>
      <c r="F617" s="39">
        <v>0</v>
      </c>
      <c r="G617" s="12"/>
      <c r="H617" s="12">
        <f t="shared" si="28"/>
        <v>0</v>
      </c>
      <c r="I617" s="12">
        <f t="shared" si="29"/>
        <v>0</v>
      </c>
      <c r="J617" s="12">
        <f t="shared" si="30"/>
        <v>0</v>
      </c>
      <c r="K617" s="14"/>
    </row>
    <row r="618" spans="1:11" ht="29" x14ac:dyDescent="0.3">
      <c r="A618" s="37">
        <v>610</v>
      </c>
      <c r="B618" s="37" t="s">
        <v>677</v>
      </c>
      <c r="C618" s="38" t="s">
        <v>102</v>
      </c>
      <c r="D618" s="37" t="s">
        <v>71</v>
      </c>
      <c r="E618" s="39">
        <v>0</v>
      </c>
      <c r="F618" s="39">
        <v>596000</v>
      </c>
      <c r="G618" s="12"/>
      <c r="H618" s="12">
        <f t="shared" si="28"/>
        <v>0</v>
      </c>
      <c r="I618" s="12">
        <f t="shared" si="29"/>
        <v>0</v>
      </c>
      <c r="J618" s="12">
        <f t="shared" si="30"/>
        <v>0</v>
      </c>
      <c r="K618" s="14"/>
    </row>
    <row r="619" spans="1:11" ht="29" x14ac:dyDescent="0.3">
      <c r="A619" s="37">
        <v>611</v>
      </c>
      <c r="B619" s="40" t="s">
        <v>678</v>
      </c>
      <c r="C619" s="38" t="s">
        <v>103</v>
      </c>
      <c r="D619" s="37" t="s">
        <v>71</v>
      </c>
      <c r="E619" s="41">
        <v>2601494</v>
      </c>
      <c r="F619" s="39">
        <v>0</v>
      </c>
      <c r="G619" s="12"/>
      <c r="H619" s="12">
        <f t="shared" si="28"/>
        <v>0</v>
      </c>
      <c r="I619" s="12">
        <f t="shared" si="29"/>
        <v>0</v>
      </c>
      <c r="J619" s="12">
        <f t="shared" si="30"/>
        <v>0</v>
      </c>
      <c r="K619" s="14"/>
    </row>
    <row r="620" spans="1:11" ht="29" x14ac:dyDescent="0.3">
      <c r="A620" s="37">
        <v>612</v>
      </c>
      <c r="B620" s="37" t="s">
        <v>679</v>
      </c>
      <c r="C620" s="38" t="s">
        <v>103</v>
      </c>
      <c r="D620" s="37" t="s">
        <v>71</v>
      </c>
      <c r="E620" s="39">
        <v>0</v>
      </c>
      <c r="F620" s="39">
        <v>746000</v>
      </c>
      <c r="G620" s="12"/>
      <c r="H620" s="12">
        <f t="shared" si="28"/>
        <v>0</v>
      </c>
      <c r="I620" s="12">
        <f t="shared" si="29"/>
        <v>0</v>
      </c>
      <c r="J620" s="12">
        <f t="shared" si="30"/>
        <v>0</v>
      </c>
      <c r="K620" s="14"/>
    </row>
    <row r="621" spans="1:11" ht="58" x14ac:dyDescent="0.3">
      <c r="A621" s="37">
        <v>613</v>
      </c>
      <c r="B621" s="40" t="s">
        <v>725</v>
      </c>
      <c r="C621" s="38" t="s">
        <v>724</v>
      </c>
      <c r="D621" s="37" t="s">
        <v>91</v>
      </c>
      <c r="E621" s="41">
        <v>1220000</v>
      </c>
      <c r="F621" s="39">
        <v>0</v>
      </c>
      <c r="G621" s="12"/>
      <c r="H621" s="12">
        <f t="shared" si="28"/>
        <v>0</v>
      </c>
      <c r="I621" s="12">
        <f t="shared" si="29"/>
        <v>0</v>
      </c>
      <c r="J621" s="12">
        <f t="shared" si="30"/>
        <v>0</v>
      </c>
      <c r="K621" s="14"/>
    </row>
    <row r="622" spans="1:11" ht="58" x14ac:dyDescent="0.3">
      <c r="A622" s="37">
        <v>614</v>
      </c>
      <c r="B622" s="37" t="s">
        <v>726</v>
      </c>
      <c r="C622" s="38" t="s">
        <v>724</v>
      </c>
      <c r="D622" s="37" t="s">
        <v>91</v>
      </c>
      <c r="E622" s="39">
        <v>0</v>
      </c>
      <c r="F622" s="39">
        <v>231683</v>
      </c>
      <c r="G622" s="12"/>
      <c r="H622" s="12">
        <f t="shared" si="28"/>
        <v>0</v>
      </c>
      <c r="I622" s="12">
        <f t="shared" si="29"/>
        <v>0</v>
      </c>
      <c r="J622" s="12">
        <f t="shared" si="30"/>
        <v>0</v>
      </c>
      <c r="K622" s="14"/>
    </row>
    <row r="623" spans="1:11" ht="58" x14ac:dyDescent="0.3">
      <c r="A623" s="37">
        <v>615</v>
      </c>
      <c r="B623" s="40" t="s">
        <v>728</v>
      </c>
      <c r="C623" s="38" t="s">
        <v>727</v>
      </c>
      <c r="D623" s="37" t="s">
        <v>91</v>
      </c>
      <c r="E623" s="41">
        <v>1360000</v>
      </c>
      <c r="F623" s="39">
        <v>0</v>
      </c>
      <c r="G623" s="12"/>
      <c r="H623" s="12">
        <f t="shared" si="28"/>
        <v>0</v>
      </c>
      <c r="I623" s="12">
        <f t="shared" si="29"/>
        <v>0</v>
      </c>
      <c r="J623" s="12">
        <f t="shared" si="30"/>
        <v>0</v>
      </c>
      <c r="K623" s="14"/>
    </row>
    <row r="624" spans="1:11" ht="58" x14ac:dyDescent="0.3">
      <c r="A624" s="37">
        <v>616</v>
      </c>
      <c r="B624" s="37" t="s">
        <v>729</v>
      </c>
      <c r="C624" s="38" t="s">
        <v>727</v>
      </c>
      <c r="D624" s="37" t="s">
        <v>91</v>
      </c>
      <c r="E624" s="39">
        <v>0</v>
      </c>
      <c r="F624" s="39">
        <v>231683</v>
      </c>
      <c r="G624" s="12"/>
      <c r="H624" s="12">
        <f t="shared" si="28"/>
        <v>0</v>
      </c>
      <c r="I624" s="12">
        <f t="shared" si="29"/>
        <v>0</v>
      </c>
      <c r="J624" s="12">
        <f t="shared" si="30"/>
        <v>0</v>
      </c>
      <c r="K624" s="14"/>
    </row>
    <row r="625" spans="1:11" ht="43.5" x14ac:dyDescent="0.3">
      <c r="A625" s="37">
        <v>617</v>
      </c>
      <c r="B625" s="40" t="s">
        <v>662</v>
      </c>
      <c r="C625" s="38" t="s">
        <v>661</v>
      </c>
      <c r="D625" s="37" t="s">
        <v>15</v>
      </c>
      <c r="E625" s="41">
        <v>1175000</v>
      </c>
      <c r="F625" s="39">
        <v>0</v>
      </c>
      <c r="G625" s="12"/>
      <c r="H625" s="12">
        <f t="shared" si="28"/>
        <v>0</v>
      </c>
      <c r="I625" s="12">
        <f t="shared" si="29"/>
        <v>0</v>
      </c>
      <c r="J625" s="12">
        <f t="shared" si="30"/>
        <v>0</v>
      </c>
      <c r="K625" s="14"/>
    </row>
    <row r="626" spans="1:11" ht="43.5" x14ac:dyDescent="0.3">
      <c r="A626" s="37">
        <v>618</v>
      </c>
      <c r="B626" s="37" t="s">
        <v>663</v>
      </c>
      <c r="C626" s="38" t="s">
        <v>661</v>
      </c>
      <c r="D626" s="37" t="s">
        <v>15</v>
      </c>
      <c r="E626" s="39">
        <v>0</v>
      </c>
      <c r="F626" s="39">
        <v>163554</v>
      </c>
      <c r="G626" s="12"/>
      <c r="H626" s="12">
        <f t="shared" si="28"/>
        <v>0</v>
      </c>
      <c r="I626" s="12">
        <f t="shared" si="29"/>
        <v>0</v>
      </c>
      <c r="J626" s="12">
        <f t="shared" si="30"/>
        <v>0</v>
      </c>
      <c r="K626" s="14"/>
    </row>
    <row r="627" spans="1:11" ht="29" x14ac:dyDescent="0.3">
      <c r="A627" s="37">
        <v>619</v>
      </c>
      <c r="B627" s="40" t="s">
        <v>330</v>
      </c>
      <c r="C627" s="38" t="s">
        <v>329</v>
      </c>
      <c r="D627" s="37" t="s">
        <v>71</v>
      </c>
      <c r="E627" s="39">
        <v>1350000</v>
      </c>
      <c r="F627" s="41">
        <v>0</v>
      </c>
      <c r="G627" s="12"/>
      <c r="H627" s="12">
        <f t="shared" si="28"/>
        <v>0</v>
      </c>
      <c r="I627" s="12">
        <f t="shared" si="29"/>
        <v>0</v>
      </c>
      <c r="J627" s="12">
        <f t="shared" si="30"/>
        <v>0</v>
      </c>
      <c r="K627" s="14"/>
    </row>
    <row r="628" spans="1:11" ht="29" x14ac:dyDescent="0.3">
      <c r="A628" s="37">
        <v>620</v>
      </c>
      <c r="B628" s="40" t="s">
        <v>331</v>
      </c>
      <c r="C628" s="38" t="s">
        <v>329</v>
      </c>
      <c r="D628" s="37" t="s">
        <v>71</v>
      </c>
      <c r="E628" s="41">
        <v>0</v>
      </c>
      <c r="F628" s="39">
        <v>220000</v>
      </c>
      <c r="G628" s="12"/>
      <c r="H628" s="12">
        <f t="shared" si="28"/>
        <v>0</v>
      </c>
      <c r="I628" s="12">
        <f t="shared" si="29"/>
        <v>0</v>
      </c>
      <c r="J628" s="12">
        <f t="shared" si="30"/>
        <v>0</v>
      </c>
      <c r="K628" s="14"/>
    </row>
    <row r="629" spans="1:11" ht="43.5" x14ac:dyDescent="0.3">
      <c r="A629" s="37">
        <v>621</v>
      </c>
      <c r="B629" s="37" t="s">
        <v>668</v>
      </c>
      <c r="C629" s="38" t="s">
        <v>667</v>
      </c>
      <c r="D629" s="37" t="s">
        <v>71</v>
      </c>
      <c r="E629" s="39">
        <v>962387</v>
      </c>
      <c r="F629" s="39">
        <v>0</v>
      </c>
      <c r="G629" s="12"/>
      <c r="H629" s="12">
        <f t="shared" si="28"/>
        <v>0</v>
      </c>
      <c r="I629" s="12">
        <f t="shared" si="29"/>
        <v>0</v>
      </c>
      <c r="J629" s="12">
        <f t="shared" si="30"/>
        <v>0</v>
      </c>
      <c r="K629" s="14"/>
    </row>
    <row r="630" spans="1:11" ht="43.5" x14ac:dyDescent="0.3">
      <c r="A630" s="37">
        <v>622</v>
      </c>
      <c r="B630" s="40" t="s">
        <v>669</v>
      </c>
      <c r="C630" s="38" t="s">
        <v>667</v>
      </c>
      <c r="D630" s="37" t="s">
        <v>71</v>
      </c>
      <c r="E630" s="39">
        <v>0</v>
      </c>
      <c r="F630" s="41">
        <v>203261</v>
      </c>
      <c r="G630" s="12"/>
      <c r="H630" s="12">
        <f t="shared" si="28"/>
        <v>0</v>
      </c>
      <c r="I630" s="12">
        <f t="shared" si="29"/>
        <v>0</v>
      </c>
      <c r="J630" s="12">
        <f t="shared" si="30"/>
        <v>0</v>
      </c>
      <c r="K630" s="14"/>
    </row>
    <row r="631" spans="1:11" ht="29" x14ac:dyDescent="0.3">
      <c r="A631" s="37">
        <v>623</v>
      </c>
      <c r="B631" s="40" t="s">
        <v>333</v>
      </c>
      <c r="C631" s="38" t="s">
        <v>332</v>
      </c>
      <c r="D631" s="37" t="s">
        <v>71</v>
      </c>
      <c r="E631" s="41">
        <v>1650000</v>
      </c>
      <c r="F631" s="39">
        <v>0</v>
      </c>
      <c r="G631" s="12"/>
      <c r="H631" s="12">
        <f t="shared" si="28"/>
        <v>0</v>
      </c>
      <c r="I631" s="12">
        <f t="shared" si="29"/>
        <v>0</v>
      </c>
      <c r="J631" s="12">
        <f t="shared" si="30"/>
        <v>0</v>
      </c>
      <c r="K631" s="14"/>
    </row>
    <row r="632" spans="1:11" ht="29" x14ac:dyDescent="0.3">
      <c r="A632" s="37">
        <v>624</v>
      </c>
      <c r="B632" s="37" t="s">
        <v>334</v>
      </c>
      <c r="C632" s="38" t="s">
        <v>332</v>
      </c>
      <c r="D632" s="37" t="s">
        <v>71</v>
      </c>
      <c r="E632" s="39">
        <v>0</v>
      </c>
      <c r="F632" s="39">
        <v>220590</v>
      </c>
      <c r="G632" s="12"/>
      <c r="H632" s="12">
        <f t="shared" si="28"/>
        <v>0</v>
      </c>
      <c r="I632" s="12">
        <f t="shared" si="29"/>
        <v>0</v>
      </c>
      <c r="J632" s="12">
        <f t="shared" si="30"/>
        <v>0</v>
      </c>
      <c r="K632" s="14"/>
    </row>
    <row r="633" spans="1:11" ht="72.5" x14ac:dyDescent="0.3">
      <c r="A633" s="37">
        <v>625</v>
      </c>
      <c r="B633" s="40" t="s">
        <v>1099</v>
      </c>
      <c r="C633" s="38" t="s">
        <v>1098</v>
      </c>
      <c r="D633" s="37" t="s">
        <v>91</v>
      </c>
      <c r="E633" s="39">
        <v>1360000</v>
      </c>
      <c r="F633" s="41">
        <v>0</v>
      </c>
      <c r="G633" s="12"/>
      <c r="H633" s="12">
        <f t="shared" si="28"/>
        <v>0</v>
      </c>
      <c r="I633" s="12">
        <f t="shared" si="29"/>
        <v>0</v>
      </c>
      <c r="J633" s="12">
        <f t="shared" si="30"/>
        <v>0</v>
      </c>
      <c r="K633" s="14"/>
    </row>
    <row r="634" spans="1:11" ht="72.5" x14ac:dyDescent="0.3">
      <c r="A634" s="37">
        <v>626</v>
      </c>
      <c r="B634" s="40" t="s">
        <v>1100</v>
      </c>
      <c r="C634" s="38" t="s">
        <v>1098</v>
      </c>
      <c r="D634" s="37" t="s">
        <v>91</v>
      </c>
      <c r="E634" s="41">
        <v>0</v>
      </c>
      <c r="F634" s="39">
        <v>229165</v>
      </c>
      <c r="G634" s="12"/>
      <c r="H634" s="12">
        <f t="shared" si="28"/>
        <v>0</v>
      </c>
      <c r="I634" s="12">
        <f t="shared" si="29"/>
        <v>0</v>
      </c>
      <c r="J634" s="12">
        <f t="shared" si="30"/>
        <v>0</v>
      </c>
      <c r="K634" s="14"/>
    </row>
    <row r="635" spans="1:11" ht="43.5" x14ac:dyDescent="0.3">
      <c r="A635" s="37">
        <v>627</v>
      </c>
      <c r="B635" s="37" t="s">
        <v>633</v>
      </c>
      <c r="C635" s="38" t="s">
        <v>77</v>
      </c>
      <c r="D635" s="37" t="s">
        <v>13</v>
      </c>
      <c r="E635" s="39">
        <v>1602235</v>
      </c>
      <c r="F635" s="39">
        <v>0</v>
      </c>
      <c r="G635" s="12"/>
      <c r="H635" s="12">
        <f t="shared" si="28"/>
        <v>0</v>
      </c>
      <c r="I635" s="12">
        <f t="shared" si="29"/>
        <v>0</v>
      </c>
      <c r="J635" s="12">
        <f t="shared" si="30"/>
        <v>0</v>
      </c>
      <c r="K635" s="14"/>
    </row>
    <row r="636" spans="1:11" ht="43.5" x14ac:dyDescent="0.3">
      <c r="A636" s="37">
        <v>628</v>
      </c>
      <c r="B636" s="40" t="s">
        <v>634</v>
      </c>
      <c r="C636" s="38" t="s">
        <v>77</v>
      </c>
      <c r="D636" s="37" t="s">
        <v>13</v>
      </c>
      <c r="E636" s="41">
        <v>0</v>
      </c>
      <c r="F636" s="39">
        <v>397068</v>
      </c>
      <c r="G636" s="12"/>
      <c r="H636" s="12">
        <f t="shared" si="28"/>
        <v>0</v>
      </c>
      <c r="I636" s="12">
        <f t="shared" si="29"/>
        <v>0</v>
      </c>
      <c r="J636" s="12">
        <f t="shared" si="30"/>
        <v>0</v>
      </c>
      <c r="K636" s="14"/>
    </row>
    <row r="637" spans="1:11" ht="29" x14ac:dyDescent="0.3">
      <c r="A637" s="37">
        <v>629</v>
      </c>
      <c r="B637" s="37" t="s">
        <v>1097</v>
      </c>
      <c r="C637" s="38" t="s">
        <v>1178</v>
      </c>
      <c r="D637" s="37" t="s">
        <v>637</v>
      </c>
      <c r="E637" s="39">
        <v>0</v>
      </c>
      <c r="F637" s="39">
        <v>1</v>
      </c>
      <c r="G637" s="12"/>
      <c r="H637" s="12">
        <f t="shared" si="28"/>
        <v>0</v>
      </c>
      <c r="I637" s="12">
        <f t="shared" si="29"/>
        <v>0</v>
      </c>
      <c r="J637" s="12">
        <f t="shared" si="30"/>
        <v>0</v>
      </c>
      <c r="K637" s="14"/>
    </row>
    <row r="638" spans="1:11" ht="45" customHeight="1" x14ac:dyDescent="0.3">
      <c r="A638" s="37">
        <v>630</v>
      </c>
      <c r="B638" s="40" t="s">
        <v>1096</v>
      </c>
      <c r="C638" s="38" t="s">
        <v>1179</v>
      </c>
      <c r="D638" s="37" t="s">
        <v>637</v>
      </c>
      <c r="E638" s="39">
        <v>0</v>
      </c>
      <c r="F638" s="41">
        <v>1</v>
      </c>
      <c r="G638" s="12"/>
      <c r="H638" s="12">
        <f t="shared" si="28"/>
        <v>0</v>
      </c>
      <c r="I638" s="12">
        <f t="shared" si="29"/>
        <v>0</v>
      </c>
      <c r="J638" s="12">
        <f t="shared" si="30"/>
        <v>0</v>
      </c>
      <c r="K638" s="14"/>
    </row>
    <row r="639" spans="1:11" ht="14.5" x14ac:dyDescent="0.3">
      <c r="A639" s="37">
        <v>631</v>
      </c>
      <c r="B639" s="40" t="s">
        <v>935</v>
      </c>
      <c r="C639" s="38" t="s">
        <v>934</v>
      </c>
      <c r="D639" s="37" t="s">
        <v>712</v>
      </c>
      <c r="E639" s="41">
        <v>0</v>
      </c>
      <c r="F639" s="39">
        <v>280</v>
      </c>
      <c r="G639" s="12"/>
      <c r="H639" s="12">
        <f t="shared" si="28"/>
        <v>0</v>
      </c>
      <c r="I639" s="12">
        <f t="shared" si="29"/>
        <v>0</v>
      </c>
      <c r="J639" s="12">
        <f t="shared" si="30"/>
        <v>0</v>
      </c>
      <c r="K639" s="14"/>
    </row>
    <row r="640" spans="1:11" ht="14.5" x14ac:dyDescent="0.3">
      <c r="A640" s="37">
        <v>632</v>
      </c>
      <c r="B640" s="37" t="s">
        <v>704</v>
      </c>
      <c r="C640" s="38" t="s">
        <v>703</v>
      </c>
      <c r="D640" s="37" t="s">
        <v>12</v>
      </c>
      <c r="E640" s="39">
        <v>0</v>
      </c>
      <c r="F640" s="39">
        <v>550</v>
      </c>
      <c r="G640" s="12"/>
      <c r="H640" s="12">
        <f t="shared" si="28"/>
        <v>0</v>
      </c>
      <c r="I640" s="12">
        <f t="shared" si="29"/>
        <v>0</v>
      </c>
      <c r="J640" s="12">
        <f t="shared" si="30"/>
        <v>0</v>
      </c>
      <c r="K640" s="14"/>
    </row>
    <row r="641" spans="1:11" ht="14.5" x14ac:dyDescent="0.3">
      <c r="A641" s="37">
        <v>633</v>
      </c>
      <c r="B641" s="40" t="s">
        <v>702</v>
      </c>
      <c r="C641" s="38" t="s">
        <v>701</v>
      </c>
      <c r="D641" s="37" t="s">
        <v>12</v>
      </c>
      <c r="E641" s="39">
        <v>0</v>
      </c>
      <c r="F641" s="41">
        <v>550</v>
      </c>
      <c r="G641" s="12"/>
      <c r="H641" s="12">
        <f t="shared" si="28"/>
        <v>0</v>
      </c>
      <c r="I641" s="12">
        <f t="shared" si="29"/>
        <v>0</v>
      </c>
      <c r="J641" s="12">
        <f t="shared" si="30"/>
        <v>0</v>
      </c>
      <c r="K641" s="14"/>
    </row>
    <row r="642" spans="1:11" ht="14.5" x14ac:dyDescent="0.3">
      <c r="A642" s="37">
        <v>634</v>
      </c>
      <c r="B642" s="40" t="s">
        <v>798</v>
      </c>
      <c r="C642" s="38" t="s">
        <v>797</v>
      </c>
      <c r="D642" s="37" t="s">
        <v>101</v>
      </c>
      <c r="E642" s="41">
        <v>6500</v>
      </c>
      <c r="F642" s="39">
        <v>0</v>
      </c>
      <c r="G642" s="12"/>
      <c r="H642" s="12">
        <f t="shared" si="28"/>
        <v>0</v>
      </c>
      <c r="I642" s="12">
        <f t="shared" si="29"/>
        <v>0</v>
      </c>
      <c r="J642" s="12">
        <f t="shared" si="30"/>
        <v>0</v>
      </c>
      <c r="K642" s="14"/>
    </row>
    <row r="643" spans="1:11" ht="14.5" x14ac:dyDescent="0.3">
      <c r="A643" s="37">
        <v>635</v>
      </c>
      <c r="B643" s="37" t="s">
        <v>1145</v>
      </c>
      <c r="C643" s="38" t="s">
        <v>797</v>
      </c>
      <c r="D643" s="37" t="s">
        <v>101</v>
      </c>
      <c r="E643" s="39">
        <v>0</v>
      </c>
      <c r="F643" s="39">
        <v>0</v>
      </c>
      <c r="G643" s="12"/>
      <c r="H643" s="12">
        <f t="shared" si="28"/>
        <v>0</v>
      </c>
      <c r="I643" s="12">
        <f t="shared" si="29"/>
        <v>0</v>
      </c>
      <c r="J643" s="12">
        <f t="shared" si="30"/>
        <v>0</v>
      </c>
      <c r="K643" s="14"/>
    </row>
    <row r="644" spans="1:11" ht="14.5" x14ac:dyDescent="0.3">
      <c r="A644" s="37">
        <v>636</v>
      </c>
      <c r="B644" s="40" t="s">
        <v>966</v>
      </c>
      <c r="C644" s="38" t="s">
        <v>965</v>
      </c>
      <c r="D644" s="37" t="s">
        <v>22</v>
      </c>
      <c r="E644" s="39">
        <v>0</v>
      </c>
      <c r="F644" s="41">
        <v>599860</v>
      </c>
      <c r="G644" s="12"/>
      <c r="H644" s="12">
        <f t="shared" si="28"/>
        <v>0</v>
      </c>
      <c r="I644" s="12">
        <f t="shared" si="29"/>
        <v>0</v>
      </c>
      <c r="J644" s="12">
        <f t="shared" si="30"/>
        <v>0</v>
      </c>
      <c r="K644" s="14"/>
    </row>
    <row r="645" spans="1:11" ht="14.5" x14ac:dyDescent="0.3">
      <c r="A645" s="37">
        <v>637</v>
      </c>
      <c r="B645" s="40" t="s">
        <v>968</v>
      </c>
      <c r="C645" s="38" t="s">
        <v>967</v>
      </c>
      <c r="D645" s="37" t="s">
        <v>740</v>
      </c>
      <c r="E645" s="41">
        <v>0</v>
      </c>
      <c r="F645" s="39">
        <v>36470</v>
      </c>
      <c r="G645" s="12"/>
      <c r="H645" s="12">
        <f t="shared" si="28"/>
        <v>0</v>
      </c>
      <c r="I645" s="12">
        <f t="shared" si="29"/>
        <v>0</v>
      </c>
      <c r="J645" s="12">
        <f t="shared" si="30"/>
        <v>0</v>
      </c>
      <c r="K645" s="14"/>
    </row>
    <row r="646" spans="1:11" ht="14.5" x14ac:dyDescent="0.3">
      <c r="A646" s="37">
        <v>638</v>
      </c>
      <c r="B646" s="37" t="s">
        <v>962</v>
      </c>
      <c r="C646" s="38" t="s">
        <v>961</v>
      </c>
      <c r="D646" s="37" t="s">
        <v>740</v>
      </c>
      <c r="E646" s="39">
        <v>0</v>
      </c>
      <c r="F646" s="39">
        <v>9950</v>
      </c>
      <c r="G646" s="12"/>
      <c r="H646" s="12">
        <f t="shared" si="28"/>
        <v>0</v>
      </c>
      <c r="I646" s="12">
        <f t="shared" si="29"/>
        <v>0</v>
      </c>
      <c r="J646" s="12">
        <f t="shared" si="30"/>
        <v>0</v>
      </c>
      <c r="K646" s="14"/>
    </row>
    <row r="647" spans="1:11" ht="14.5" x14ac:dyDescent="0.3">
      <c r="A647" s="37">
        <v>639</v>
      </c>
      <c r="B647" s="40" t="s">
        <v>964</v>
      </c>
      <c r="C647" s="38" t="s">
        <v>963</v>
      </c>
      <c r="D647" s="37" t="s">
        <v>740</v>
      </c>
      <c r="E647" s="39">
        <v>0</v>
      </c>
      <c r="F647" s="41">
        <v>142270</v>
      </c>
      <c r="G647" s="12"/>
      <c r="H647" s="12">
        <f t="shared" si="28"/>
        <v>0</v>
      </c>
      <c r="I647" s="12">
        <f t="shared" si="29"/>
        <v>0</v>
      </c>
      <c r="J647" s="12">
        <f t="shared" si="30"/>
        <v>0</v>
      </c>
      <c r="K647" s="14"/>
    </row>
    <row r="648" spans="1:11" ht="29" x14ac:dyDescent="0.3">
      <c r="A648" s="37">
        <v>640</v>
      </c>
      <c r="B648" s="40" t="s">
        <v>731</v>
      </c>
      <c r="C648" s="38" t="s">
        <v>730</v>
      </c>
      <c r="D648" s="37" t="s">
        <v>71</v>
      </c>
      <c r="E648" s="41">
        <v>227390</v>
      </c>
      <c r="F648" s="39">
        <v>0</v>
      </c>
      <c r="G648" s="12"/>
      <c r="H648" s="12">
        <f t="shared" si="28"/>
        <v>0</v>
      </c>
      <c r="I648" s="12">
        <f t="shared" si="29"/>
        <v>0</v>
      </c>
      <c r="J648" s="12">
        <f t="shared" si="30"/>
        <v>0</v>
      </c>
      <c r="K648" s="14"/>
    </row>
    <row r="649" spans="1:11" ht="29" x14ac:dyDescent="0.3">
      <c r="A649" s="37">
        <v>641</v>
      </c>
      <c r="B649" s="37" t="s">
        <v>732</v>
      </c>
      <c r="C649" s="38" t="s">
        <v>730</v>
      </c>
      <c r="D649" s="37" t="s">
        <v>71</v>
      </c>
      <c r="E649" s="39">
        <v>0</v>
      </c>
      <c r="F649" s="39">
        <v>33730</v>
      </c>
      <c r="G649" s="12"/>
      <c r="H649" s="12">
        <f t="shared" si="28"/>
        <v>0</v>
      </c>
      <c r="I649" s="12">
        <f t="shared" si="29"/>
        <v>0</v>
      </c>
      <c r="J649" s="12">
        <f t="shared" si="30"/>
        <v>0</v>
      </c>
      <c r="K649" s="14"/>
    </row>
    <row r="650" spans="1:11" ht="29" x14ac:dyDescent="0.3">
      <c r="A650" s="37">
        <v>642</v>
      </c>
      <c r="B650" s="40" t="s">
        <v>734</v>
      </c>
      <c r="C650" s="38" t="s">
        <v>733</v>
      </c>
      <c r="D650" s="37" t="s">
        <v>71</v>
      </c>
      <c r="E650" s="39">
        <v>233040</v>
      </c>
      <c r="F650" s="41">
        <v>0</v>
      </c>
      <c r="G650" s="12"/>
      <c r="H650" s="12">
        <f t="shared" ref="H650:H713" si="31">E650*G650</f>
        <v>0</v>
      </c>
      <c r="I650" s="12">
        <f t="shared" ref="I650:I713" si="32">F650*G650</f>
        <v>0</v>
      </c>
      <c r="J650" s="12">
        <f t="shared" ref="J650:J713" si="33">SUM(H650:I650)</f>
        <v>0</v>
      </c>
      <c r="K650" s="14"/>
    </row>
    <row r="651" spans="1:11" ht="29" x14ac:dyDescent="0.3">
      <c r="A651" s="37">
        <v>643</v>
      </c>
      <c r="B651" s="40" t="s">
        <v>735</v>
      </c>
      <c r="C651" s="38" t="s">
        <v>733</v>
      </c>
      <c r="D651" s="37" t="s">
        <v>71</v>
      </c>
      <c r="E651" s="41">
        <v>0</v>
      </c>
      <c r="F651" s="39">
        <v>39350</v>
      </c>
      <c r="G651" s="12"/>
      <c r="H651" s="12">
        <f t="shared" si="31"/>
        <v>0</v>
      </c>
      <c r="I651" s="12">
        <f t="shared" si="32"/>
        <v>0</v>
      </c>
      <c r="J651" s="12">
        <f t="shared" si="33"/>
        <v>0</v>
      </c>
      <c r="K651" s="14"/>
    </row>
    <row r="652" spans="1:11" ht="29" x14ac:dyDescent="0.3">
      <c r="A652" s="37">
        <v>644</v>
      </c>
      <c r="B652" s="37" t="s">
        <v>737</v>
      </c>
      <c r="C652" s="38" t="s">
        <v>736</v>
      </c>
      <c r="D652" s="37" t="s">
        <v>71</v>
      </c>
      <c r="E652" s="39">
        <v>352440</v>
      </c>
      <c r="F652" s="39">
        <v>0</v>
      </c>
      <c r="G652" s="12"/>
      <c r="H652" s="12">
        <f t="shared" si="31"/>
        <v>0</v>
      </c>
      <c r="I652" s="12">
        <f t="shared" si="32"/>
        <v>0</v>
      </c>
      <c r="J652" s="12">
        <f t="shared" si="33"/>
        <v>0</v>
      </c>
      <c r="K652" s="14"/>
    </row>
    <row r="653" spans="1:11" ht="29" x14ac:dyDescent="0.3">
      <c r="A653" s="37">
        <v>645</v>
      </c>
      <c r="B653" s="40" t="s">
        <v>738</v>
      </c>
      <c r="C653" s="38" t="s">
        <v>736</v>
      </c>
      <c r="D653" s="37" t="s">
        <v>71</v>
      </c>
      <c r="E653" s="39">
        <v>0</v>
      </c>
      <c r="F653" s="41">
        <v>44970</v>
      </c>
      <c r="G653" s="12"/>
      <c r="H653" s="12">
        <f t="shared" si="31"/>
        <v>0</v>
      </c>
      <c r="I653" s="12">
        <f t="shared" si="32"/>
        <v>0</v>
      </c>
      <c r="J653" s="12">
        <f t="shared" si="33"/>
        <v>0</v>
      </c>
      <c r="K653" s="14"/>
    </row>
    <row r="654" spans="1:11" ht="14.5" x14ac:dyDescent="0.3">
      <c r="A654" s="37">
        <v>646</v>
      </c>
      <c r="B654" s="40" t="s">
        <v>741</v>
      </c>
      <c r="C654" s="38" t="s">
        <v>739</v>
      </c>
      <c r="D654" s="37" t="s">
        <v>740</v>
      </c>
      <c r="E654" s="41">
        <v>8667</v>
      </c>
      <c r="F654" s="39">
        <v>0</v>
      </c>
      <c r="G654" s="12"/>
      <c r="H654" s="12">
        <f t="shared" si="31"/>
        <v>0</v>
      </c>
      <c r="I654" s="12">
        <f t="shared" si="32"/>
        <v>0</v>
      </c>
      <c r="J654" s="12">
        <f t="shared" si="33"/>
        <v>0</v>
      </c>
      <c r="K654" s="14"/>
    </row>
    <row r="655" spans="1:11" ht="14.5" x14ac:dyDescent="0.3">
      <c r="A655" s="37">
        <v>647</v>
      </c>
      <c r="B655" s="37" t="s">
        <v>742</v>
      </c>
      <c r="C655" s="38" t="s">
        <v>739</v>
      </c>
      <c r="D655" s="37" t="s">
        <v>740</v>
      </c>
      <c r="E655" s="39">
        <v>0</v>
      </c>
      <c r="F655" s="39">
        <v>12000</v>
      </c>
      <c r="G655" s="12"/>
      <c r="H655" s="12">
        <f t="shared" si="31"/>
        <v>0</v>
      </c>
      <c r="I655" s="12">
        <f t="shared" si="32"/>
        <v>0</v>
      </c>
      <c r="J655" s="12">
        <f t="shared" si="33"/>
        <v>0</v>
      </c>
      <c r="K655" s="14"/>
    </row>
    <row r="656" spans="1:11" ht="29" x14ac:dyDescent="0.3">
      <c r="A656" s="37">
        <v>648</v>
      </c>
      <c r="B656" s="40" t="s">
        <v>180</v>
      </c>
      <c r="C656" s="38" t="s">
        <v>179</v>
      </c>
      <c r="D656" s="37" t="s">
        <v>13</v>
      </c>
      <c r="E656" s="39">
        <v>1070000</v>
      </c>
      <c r="F656" s="41">
        <v>0</v>
      </c>
      <c r="G656" s="12"/>
      <c r="H656" s="12">
        <f t="shared" si="31"/>
        <v>0</v>
      </c>
      <c r="I656" s="12">
        <f t="shared" si="32"/>
        <v>0</v>
      </c>
      <c r="J656" s="12">
        <f t="shared" si="33"/>
        <v>0</v>
      </c>
      <c r="K656" s="14"/>
    </row>
    <row r="657" spans="1:11" ht="29" x14ac:dyDescent="0.3">
      <c r="A657" s="37">
        <v>649</v>
      </c>
      <c r="B657" s="40" t="s">
        <v>181</v>
      </c>
      <c r="C657" s="38" t="s">
        <v>179</v>
      </c>
      <c r="D657" s="37" t="s">
        <v>13</v>
      </c>
      <c r="E657" s="41">
        <v>0</v>
      </c>
      <c r="F657" s="39">
        <v>30726</v>
      </c>
      <c r="G657" s="12"/>
      <c r="H657" s="12">
        <f t="shared" si="31"/>
        <v>0</v>
      </c>
      <c r="I657" s="12">
        <f t="shared" si="32"/>
        <v>0</v>
      </c>
      <c r="J657" s="12">
        <f t="shared" si="33"/>
        <v>0</v>
      </c>
      <c r="K657" s="14"/>
    </row>
    <row r="658" spans="1:11" ht="29" x14ac:dyDescent="0.3">
      <c r="A658" s="37">
        <v>650</v>
      </c>
      <c r="B658" s="37" t="s">
        <v>171</v>
      </c>
      <c r="C658" s="38" t="s">
        <v>170</v>
      </c>
      <c r="D658" s="37" t="s">
        <v>13</v>
      </c>
      <c r="E658" s="39">
        <v>652500</v>
      </c>
      <c r="F658" s="39">
        <v>0</v>
      </c>
      <c r="G658" s="12"/>
      <c r="H658" s="12">
        <f t="shared" si="31"/>
        <v>0</v>
      </c>
      <c r="I658" s="12">
        <f t="shared" si="32"/>
        <v>0</v>
      </c>
      <c r="J658" s="12">
        <f t="shared" si="33"/>
        <v>0</v>
      </c>
      <c r="K658" s="14"/>
    </row>
    <row r="659" spans="1:11" ht="29" x14ac:dyDescent="0.3">
      <c r="A659" s="37">
        <v>651</v>
      </c>
      <c r="B659" s="40" t="s">
        <v>172</v>
      </c>
      <c r="C659" s="38" t="s">
        <v>170</v>
      </c>
      <c r="D659" s="37" t="s">
        <v>13</v>
      </c>
      <c r="E659" s="39">
        <v>0</v>
      </c>
      <c r="F659" s="41">
        <v>32500</v>
      </c>
      <c r="G659" s="12"/>
      <c r="H659" s="12">
        <f t="shared" si="31"/>
        <v>0</v>
      </c>
      <c r="I659" s="12">
        <f t="shared" si="32"/>
        <v>0</v>
      </c>
      <c r="J659" s="12">
        <f t="shared" si="33"/>
        <v>0</v>
      </c>
      <c r="K659" s="14"/>
    </row>
    <row r="660" spans="1:11" ht="29" x14ac:dyDescent="0.3">
      <c r="A660" s="37">
        <v>652</v>
      </c>
      <c r="B660" s="40" t="s">
        <v>183</v>
      </c>
      <c r="C660" s="38" t="s">
        <v>182</v>
      </c>
      <c r="D660" s="37" t="s">
        <v>13</v>
      </c>
      <c r="E660" s="41">
        <v>1955000</v>
      </c>
      <c r="F660" s="39">
        <v>0</v>
      </c>
      <c r="G660" s="12"/>
      <c r="H660" s="12">
        <f t="shared" si="31"/>
        <v>0</v>
      </c>
      <c r="I660" s="12">
        <f t="shared" si="32"/>
        <v>0</v>
      </c>
      <c r="J660" s="12">
        <f t="shared" si="33"/>
        <v>0</v>
      </c>
      <c r="K660" s="14"/>
    </row>
    <row r="661" spans="1:11" ht="29" x14ac:dyDescent="0.3">
      <c r="A661" s="37">
        <v>653</v>
      </c>
      <c r="B661" s="37" t="s">
        <v>184</v>
      </c>
      <c r="C661" s="38" t="s">
        <v>182</v>
      </c>
      <c r="D661" s="37" t="s">
        <v>13</v>
      </c>
      <c r="E661" s="39">
        <v>0</v>
      </c>
      <c r="F661" s="39">
        <v>30726</v>
      </c>
      <c r="G661" s="12"/>
      <c r="H661" s="12">
        <f t="shared" si="31"/>
        <v>0</v>
      </c>
      <c r="I661" s="12">
        <f t="shared" si="32"/>
        <v>0</v>
      </c>
      <c r="J661" s="12">
        <f t="shared" si="33"/>
        <v>0</v>
      </c>
      <c r="K661" s="14"/>
    </row>
    <row r="662" spans="1:11" ht="29" x14ac:dyDescent="0.3">
      <c r="A662" s="37">
        <v>654</v>
      </c>
      <c r="B662" s="40" t="s">
        <v>174</v>
      </c>
      <c r="C662" s="38" t="s">
        <v>173</v>
      </c>
      <c r="D662" s="37" t="s">
        <v>13</v>
      </c>
      <c r="E662" s="39">
        <v>737149</v>
      </c>
      <c r="F662" s="41">
        <v>0</v>
      </c>
      <c r="G662" s="12"/>
      <c r="H662" s="12">
        <f t="shared" si="31"/>
        <v>0</v>
      </c>
      <c r="I662" s="12">
        <f t="shared" si="32"/>
        <v>0</v>
      </c>
      <c r="J662" s="12">
        <f t="shared" si="33"/>
        <v>0</v>
      </c>
      <c r="K662" s="14"/>
    </row>
    <row r="663" spans="1:11" ht="29" x14ac:dyDescent="0.3">
      <c r="A663" s="37">
        <v>655</v>
      </c>
      <c r="B663" s="40" t="s">
        <v>175</v>
      </c>
      <c r="C663" s="38" t="s">
        <v>173</v>
      </c>
      <c r="D663" s="37" t="s">
        <v>13</v>
      </c>
      <c r="E663" s="41">
        <v>0</v>
      </c>
      <c r="F663" s="39">
        <v>32500</v>
      </c>
      <c r="G663" s="12"/>
      <c r="H663" s="12">
        <f t="shared" si="31"/>
        <v>0</v>
      </c>
      <c r="I663" s="12">
        <f t="shared" si="32"/>
        <v>0</v>
      </c>
      <c r="J663" s="12">
        <f t="shared" si="33"/>
        <v>0</v>
      </c>
      <c r="K663" s="14"/>
    </row>
    <row r="664" spans="1:11" ht="29" x14ac:dyDescent="0.3">
      <c r="A664" s="37">
        <v>656</v>
      </c>
      <c r="B664" s="37" t="s">
        <v>177</v>
      </c>
      <c r="C664" s="38" t="s">
        <v>176</v>
      </c>
      <c r="D664" s="37" t="s">
        <v>13</v>
      </c>
      <c r="E664" s="39">
        <v>673200</v>
      </c>
      <c r="F664" s="39">
        <v>0</v>
      </c>
      <c r="G664" s="12"/>
      <c r="H664" s="12">
        <f t="shared" si="31"/>
        <v>0</v>
      </c>
      <c r="I664" s="12">
        <f t="shared" si="32"/>
        <v>0</v>
      </c>
      <c r="J664" s="12">
        <f t="shared" si="33"/>
        <v>0</v>
      </c>
      <c r="K664" s="14"/>
    </row>
    <row r="665" spans="1:11" ht="29" x14ac:dyDescent="0.3">
      <c r="A665" s="37">
        <v>657</v>
      </c>
      <c r="B665" s="40" t="s">
        <v>178</v>
      </c>
      <c r="C665" s="38" t="s">
        <v>176</v>
      </c>
      <c r="D665" s="37" t="s">
        <v>13</v>
      </c>
      <c r="E665" s="39">
        <v>0</v>
      </c>
      <c r="F665" s="41">
        <v>30726</v>
      </c>
      <c r="G665" s="12"/>
      <c r="H665" s="12">
        <f t="shared" si="31"/>
        <v>0</v>
      </c>
      <c r="I665" s="12">
        <f t="shared" si="32"/>
        <v>0</v>
      </c>
      <c r="J665" s="12">
        <f t="shared" si="33"/>
        <v>0</v>
      </c>
      <c r="K665" s="14"/>
    </row>
    <row r="666" spans="1:11" ht="14.5" x14ac:dyDescent="0.3">
      <c r="A666" s="37">
        <v>658</v>
      </c>
      <c r="B666" s="40" t="s">
        <v>328</v>
      </c>
      <c r="C666" s="38" t="s">
        <v>327</v>
      </c>
      <c r="D666" s="37" t="s">
        <v>16</v>
      </c>
      <c r="E666" s="41">
        <v>0</v>
      </c>
      <c r="F666" s="39">
        <v>6673862</v>
      </c>
      <c r="G666" s="12"/>
      <c r="H666" s="12">
        <f t="shared" si="31"/>
        <v>0</v>
      </c>
      <c r="I666" s="12">
        <f t="shared" si="32"/>
        <v>0</v>
      </c>
      <c r="J666" s="12">
        <f t="shared" si="33"/>
        <v>0</v>
      </c>
      <c r="K666" s="14"/>
    </row>
    <row r="667" spans="1:11" ht="29" x14ac:dyDescent="0.3">
      <c r="A667" s="37">
        <v>659</v>
      </c>
      <c r="B667" s="37" t="s">
        <v>619</v>
      </c>
      <c r="C667" s="38" t="s">
        <v>86</v>
      </c>
      <c r="D667" s="37" t="s">
        <v>13</v>
      </c>
      <c r="E667" s="39">
        <v>299773</v>
      </c>
      <c r="F667" s="39">
        <v>0</v>
      </c>
      <c r="G667" s="12"/>
      <c r="H667" s="12">
        <f t="shared" si="31"/>
        <v>0</v>
      </c>
      <c r="I667" s="12">
        <f t="shared" si="32"/>
        <v>0</v>
      </c>
      <c r="J667" s="12">
        <f t="shared" si="33"/>
        <v>0</v>
      </c>
      <c r="K667" s="14"/>
    </row>
    <row r="668" spans="1:11" ht="29" x14ac:dyDescent="0.3">
      <c r="A668" s="37">
        <v>660</v>
      </c>
      <c r="B668" s="40" t="s">
        <v>620</v>
      </c>
      <c r="C668" s="38" t="s">
        <v>86</v>
      </c>
      <c r="D668" s="37" t="s">
        <v>13</v>
      </c>
      <c r="E668" s="39">
        <v>0</v>
      </c>
      <c r="F668" s="41">
        <v>34271</v>
      </c>
      <c r="G668" s="12"/>
      <c r="H668" s="12">
        <f t="shared" si="31"/>
        <v>0</v>
      </c>
      <c r="I668" s="12">
        <f t="shared" si="32"/>
        <v>0</v>
      </c>
      <c r="J668" s="12">
        <f t="shared" si="33"/>
        <v>0</v>
      </c>
      <c r="K668" s="14"/>
    </row>
    <row r="669" spans="1:11" ht="29" x14ac:dyDescent="0.3">
      <c r="A669" s="37">
        <v>661</v>
      </c>
      <c r="B669" s="40" t="s">
        <v>617</v>
      </c>
      <c r="C669" s="38" t="s">
        <v>85</v>
      </c>
      <c r="D669" s="37" t="s">
        <v>13</v>
      </c>
      <c r="E669" s="41">
        <v>130000</v>
      </c>
      <c r="F669" s="39">
        <v>0</v>
      </c>
      <c r="G669" s="12"/>
      <c r="H669" s="12">
        <f t="shared" si="31"/>
        <v>0</v>
      </c>
      <c r="I669" s="12">
        <f t="shared" si="32"/>
        <v>0</v>
      </c>
      <c r="J669" s="12">
        <f t="shared" si="33"/>
        <v>0</v>
      </c>
      <c r="K669" s="14"/>
    </row>
    <row r="670" spans="1:11" ht="29" x14ac:dyDescent="0.3">
      <c r="A670" s="37">
        <v>662</v>
      </c>
      <c r="B670" s="37" t="s">
        <v>618</v>
      </c>
      <c r="C670" s="38" t="s">
        <v>85</v>
      </c>
      <c r="D670" s="37" t="s">
        <v>13</v>
      </c>
      <c r="E670" s="39">
        <v>0</v>
      </c>
      <c r="F670" s="39">
        <v>36250</v>
      </c>
      <c r="G670" s="12"/>
      <c r="H670" s="12">
        <f t="shared" si="31"/>
        <v>0</v>
      </c>
      <c r="I670" s="12">
        <f t="shared" si="32"/>
        <v>0</v>
      </c>
      <c r="J670" s="12">
        <f t="shared" si="33"/>
        <v>0</v>
      </c>
      <c r="K670" s="14"/>
    </row>
    <row r="671" spans="1:11" ht="14.5" x14ac:dyDescent="0.3">
      <c r="A671" s="37">
        <v>663</v>
      </c>
      <c r="B671" s="40" t="s">
        <v>747</v>
      </c>
      <c r="C671" s="38" t="s">
        <v>746</v>
      </c>
      <c r="D671" s="37" t="s">
        <v>101</v>
      </c>
      <c r="E671" s="39">
        <v>114457</v>
      </c>
      <c r="F671" s="41">
        <v>0</v>
      </c>
      <c r="G671" s="12"/>
      <c r="H671" s="12">
        <f t="shared" si="31"/>
        <v>0</v>
      </c>
      <c r="I671" s="12">
        <f t="shared" si="32"/>
        <v>0</v>
      </c>
      <c r="J671" s="12">
        <f t="shared" si="33"/>
        <v>0</v>
      </c>
      <c r="K671" s="14"/>
    </row>
    <row r="672" spans="1:11" ht="14.5" x14ac:dyDescent="0.3">
      <c r="A672" s="37">
        <v>664</v>
      </c>
      <c r="B672" s="40" t="s">
        <v>748</v>
      </c>
      <c r="C672" s="38" t="s">
        <v>746</v>
      </c>
      <c r="D672" s="37" t="s">
        <v>101</v>
      </c>
      <c r="E672" s="41">
        <v>0</v>
      </c>
      <c r="F672" s="39">
        <v>16000</v>
      </c>
      <c r="G672" s="12"/>
      <c r="H672" s="12">
        <f t="shared" si="31"/>
        <v>0</v>
      </c>
      <c r="I672" s="12">
        <f t="shared" si="32"/>
        <v>0</v>
      </c>
      <c r="J672" s="12">
        <f t="shared" si="33"/>
        <v>0</v>
      </c>
      <c r="K672" s="14"/>
    </row>
    <row r="673" spans="1:11" ht="29" x14ac:dyDescent="0.3">
      <c r="A673" s="37">
        <v>665</v>
      </c>
      <c r="B673" s="37" t="s">
        <v>507</v>
      </c>
      <c r="C673" s="38" t="s">
        <v>26</v>
      </c>
      <c r="D673" s="37" t="s">
        <v>13</v>
      </c>
      <c r="E673" s="39">
        <v>250855</v>
      </c>
      <c r="F673" s="39">
        <v>0</v>
      </c>
      <c r="G673" s="12"/>
      <c r="H673" s="12">
        <f t="shared" si="31"/>
        <v>0</v>
      </c>
      <c r="I673" s="12">
        <f t="shared" si="32"/>
        <v>0</v>
      </c>
      <c r="J673" s="12">
        <f t="shared" si="33"/>
        <v>0</v>
      </c>
      <c r="K673" s="14"/>
    </row>
    <row r="674" spans="1:11" ht="29" x14ac:dyDescent="0.3">
      <c r="A674" s="37">
        <v>666</v>
      </c>
      <c r="B674" s="40" t="s">
        <v>508</v>
      </c>
      <c r="C674" s="38" t="s">
        <v>26</v>
      </c>
      <c r="D674" s="37" t="s">
        <v>13</v>
      </c>
      <c r="E674" s="41">
        <v>0</v>
      </c>
      <c r="F674" s="39">
        <v>142347</v>
      </c>
      <c r="G674" s="12"/>
      <c r="H674" s="12">
        <f t="shared" si="31"/>
        <v>0</v>
      </c>
      <c r="I674" s="12">
        <f t="shared" si="32"/>
        <v>0</v>
      </c>
      <c r="J674" s="12">
        <f t="shared" si="33"/>
        <v>0</v>
      </c>
      <c r="K674" s="14"/>
    </row>
    <row r="675" spans="1:11" ht="29" x14ac:dyDescent="0.3">
      <c r="A675" s="37">
        <v>667</v>
      </c>
      <c r="B675" s="37" t="s">
        <v>509</v>
      </c>
      <c r="C675" s="38" t="s">
        <v>27</v>
      </c>
      <c r="D675" s="37" t="s">
        <v>13</v>
      </c>
      <c r="E675" s="39">
        <v>273971</v>
      </c>
      <c r="F675" s="39">
        <v>0</v>
      </c>
      <c r="G675" s="12"/>
      <c r="H675" s="12">
        <f t="shared" si="31"/>
        <v>0</v>
      </c>
      <c r="I675" s="12">
        <f t="shared" si="32"/>
        <v>0</v>
      </c>
      <c r="J675" s="12">
        <f t="shared" si="33"/>
        <v>0</v>
      </c>
      <c r="K675" s="14"/>
    </row>
    <row r="676" spans="1:11" ht="29" x14ac:dyDescent="0.3">
      <c r="A676" s="37">
        <v>668</v>
      </c>
      <c r="B676" s="40" t="s">
        <v>510</v>
      </c>
      <c r="C676" s="38" t="s">
        <v>27</v>
      </c>
      <c r="D676" s="37" t="s">
        <v>13</v>
      </c>
      <c r="E676" s="41">
        <v>0</v>
      </c>
      <c r="F676" s="39">
        <v>153763</v>
      </c>
      <c r="G676" s="12"/>
      <c r="H676" s="12">
        <f t="shared" si="31"/>
        <v>0</v>
      </c>
      <c r="I676" s="12">
        <f t="shared" si="32"/>
        <v>0</v>
      </c>
      <c r="J676" s="12">
        <f t="shared" si="33"/>
        <v>0</v>
      </c>
      <c r="K676" s="14"/>
    </row>
    <row r="677" spans="1:11" ht="29" x14ac:dyDescent="0.3">
      <c r="A677" s="37">
        <v>669</v>
      </c>
      <c r="B677" s="37" t="s">
        <v>511</v>
      </c>
      <c r="C677" s="38" t="s">
        <v>28</v>
      </c>
      <c r="D677" s="37" t="s">
        <v>13</v>
      </c>
      <c r="E677" s="39">
        <v>764843</v>
      </c>
      <c r="F677" s="39">
        <v>0</v>
      </c>
      <c r="G677" s="12"/>
      <c r="H677" s="12">
        <f t="shared" si="31"/>
        <v>0</v>
      </c>
      <c r="I677" s="12">
        <f t="shared" si="32"/>
        <v>0</v>
      </c>
      <c r="J677" s="12">
        <f t="shared" si="33"/>
        <v>0</v>
      </c>
      <c r="K677" s="14"/>
    </row>
    <row r="678" spans="1:11" ht="29" x14ac:dyDescent="0.3">
      <c r="A678" s="37">
        <v>670</v>
      </c>
      <c r="B678" s="40" t="s">
        <v>512</v>
      </c>
      <c r="C678" s="38" t="s">
        <v>28</v>
      </c>
      <c r="D678" s="37" t="s">
        <v>13</v>
      </c>
      <c r="E678" s="41">
        <v>0</v>
      </c>
      <c r="F678" s="39">
        <v>169142</v>
      </c>
      <c r="G678" s="12"/>
      <c r="H678" s="12">
        <f t="shared" si="31"/>
        <v>0</v>
      </c>
      <c r="I678" s="12">
        <f t="shared" si="32"/>
        <v>0</v>
      </c>
      <c r="J678" s="12">
        <f t="shared" si="33"/>
        <v>0</v>
      </c>
      <c r="K678" s="14"/>
    </row>
    <row r="679" spans="1:11" ht="29" x14ac:dyDescent="0.3">
      <c r="A679" s="37">
        <v>671</v>
      </c>
      <c r="B679" s="37" t="s">
        <v>513</v>
      </c>
      <c r="C679" s="38" t="s">
        <v>29</v>
      </c>
      <c r="D679" s="37" t="s">
        <v>13</v>
      </c>
      <c r="E679" s="39">
        <v>640334</v>
      </c>
      <c r="F679" s="39">
        <v>0</v>
      </c>
      <c r="G679" s="12"/>
      <c r="H679" s="12">
        <f t="shared" si="31"/>
        <v>0</v>
      </c>
      <c r="I679" s="12">
        <f t="shared" si="32"/>
        <v>0</v>
      </c>
      <c r="J679" s="12">
        <f t="shared" si="33"/>
        <v>0</v>
      </c>
      <c r="K679" s="14"/>
    </row>
    <row r="680" spans="1:11" ht="29" x14ac:dyDescent="0.3">
      <c r="A680" s="37">
        <v>672</v>
      </c>
      <c r="B680" s="40" t="s">
        <v>514</v>
      </c>
      <c r="C680" s="38" t="s">
        <v>29</v>
      </c>
      <c r="D680" s="37" t="s">
        <v>13</v>
      </c>
      <c r="E680" s="41">
        <v>0</v>
      </c>
      <c r="F680" s="39">
        <v>186057</v>
      </c>
      <c r="G680" s="12"/>
      <c r="H680" s="12">
        <f t="shared" si="31"/>
        <v>0</v>
      </c>
      <c r="I680" s="12">
        <f t="shared" si="32"/>
        <v>0</v>
      </c>
      <c r="J680" s="12">
        <f t="shared" si="33"/>
        <v>0</v>
      </c>
      <c r="K680" s="14"/>
    </row>
    <row r="681" spans="1:11" ht="29" x14ac:dyDescent="0.3">
      <c r="A681" s="37">
        <v>673</v>
      </c>
      <c r="B681" s="37" t="s">
        <v>759</v>
      </c>
      <c r="C681" s="38" t="s">
        <v>758</v>
      </c>
      <c r="D681" s="37" t="s">
        <v>13</v>
      </c>
      <c r="E681" s="39">
        <v>9350</v>
      </c>
      <c r="F681" s="39">
        <v>0</v>
      </c>
      <c r="G681" s="12"/>
      <c r="H681" s="12">
        <f t="shared" si="31"/>
        <v>0</v>
      </c>
      <c r="I681" s="12">
        <f t="shared" si="32"/>
        <v>0</v>
      </c>
      <c r="J681" s="12">
        <f t="shared" si="33"/>
        <v>0</v>
      </c>
      <c r="K681" s="14"/>
    </row>
    <row r="682" spans="1:11" ht="29" x14ac:dyDescent="0.3">
      <c r="A682" s="37">
        <v>674</v>
      </c>
      <c r="B682" s="40" t="s">
        <v>760</v>
      </c>
      <c r="C682" s="38" t="s">
        <v>758</v>
      </c>
      <c r="D682" s="37" t="s">
        <v>13</v>
      </c>
      <c r="E682" s="39">
        <v>0</v>
      </c>
      <c r="F682" s="41">
        <v>5712</v>
      </c>
      <c r="G682" s="12"/>
      <c r="H682" s="12">
        <f t="shared" si="31"/>
        <v>0</v>
      </c>
      <c r="I682" s="12">
        <f t="shared" si="32"/>
        <v>0</v>
      </c>
      <c r="J682" s="12">
        <f t="shared" si="33"/>
        <v>0</v>
      </c>
      <c r="K682" s="14"/>
    </row>
    <row r="683" spans="1:11" ht="14.5" x14ac:dyDescent="0.3">
      <c r="A683" s="37">
        <v>675</v>
      </c>
      <c r="B683" s="40" t="s">
        <v>1146</v>
      </c>
      <c r="C683" s="38" t="s">
        <v>1171</v>
      </c>
      <c r="D683" s="37" t="s">
        <v>1087</v>
      </c>
      <c r="E683" s="41">
        <v>0</v>
      </c>
      <c r="F683" s="39">
        <v>212961</v>
      </c>
      <c r="G683" s="12"/>
      <c r="H683" s="12">
        <f t="shared" si="31"/>
        <v>0</v>
      </c>
      <c r="I683" s="12">
        <f t="shared" si="32"/>
        <v>0</v>
      </c>
      <c r="J683" s="12">
        <f t="shared" si="33"/>
        <v>0</v>
      </c>
      <c r="K683" s="14"/>
    </row>
    <row r="684" spans="1:11" ht="14.5" x14ac:dyDescent="0.3">
      <c r="A684" s="37">
        <v>676</v>
      </c>
      <c r="B684" s="37" t="s">
        <v>744</v>
      </c>
      <c r="C684" s="38" t="s">
        <v>743</v>
      </c>
      <c r="D684" s="37" t="s">
        <v>740</v>
      </c>
      <c r="E684" s="39">
        <v>34000</v>
      </c>
      <c r="F684" s="39">
        <v>0</v>
      </c>
      <c r="G684" s="12"/>
      <c r="H684" s="12">
        <f t="shared" si="31"/>
        <v>0</v>
      </c>
      <c r="I684" s="12">
        <f t="shared" si="32"/>
        <v>0</v>
      </c>
      <c r="J684" s="12">
        <f t="shared" si="33"/>
        <v>0</v>
      </c>
      <c r="K684" s="14"/>
    </row>
    <row r="685" spans="1:11" ht="14.5" x14ac:dyDescent="0.3">
      <c r="A685" s="37">
        <v>677</v>
      </c>
      <c r="B685" s="40" t="s">
        <v>745</v>
      </c>
      <c r="C685" s="38" t="s">
        <v>743</v>
      </c>
      <c r="D685" s="37" t="s">
        <v>740</v>
      </c>
      <c r="E685" s="39">
        <v>0</v>
      </c>
      <c r="F685" s="41">
        <v>14000</v>
      </c>
      <c r="G685" s="12"/>
      <c r="H685" s="12">
        <f t="shared" si="31"/>
        <v>0</v>
      </c>
      <c r="I685" s="12">
        <f t="shared" si="32"/>
        <v>0</v>
      </c>
      <c r="J685" s="12">
        <f t="shared" si="33"/>
        <v>0</v>
      </c>
      <c r="K685" s="14"/>
    </row>
    <row r="686" spans="1:11" ht="29" x14ac:dyDescent="0.3">
      <c r="A686" s="37">
        <v>678</v>
      </c>
      <c r="B686" s="40" t="s">
        <v>765</v>
      </c>
      <c r="C686" s="38" t="s">
        <v>764</v>
      </c>
      <c r="D686" s="37" t="s">
        <v>13</v>
      </c>
      <c r="E686" s="41">
        <v>24750</v>
      </c>
      <c r="F686" s="39">
        <v>0</v>
      </c>
      <c r="G686" s="12"/>
      <c r="H686" s="12">
        <f t="shared" si="31"/>
        <v>0</v>
      </c>
      <c r="I686" s="12">
        <f t="shared" si="32"/>
        <v>0</v>
      </c>
      <c r="J686" s="12">
        <f t="shared" si="33"/>
        <v>0</v>
      </c>
      <c r="K686" s="14"/>
    </row>
    <row r="687" spans="1:11" ht="29" x14ac:dyDescent="0.3">
      <c r="A687" s="37">
        <v>679</v>
      </c>
      <c r="B687" s="37" t="s">
        <v>766</v>
      </c>
      <c r="C687" s="38" t="s">
        <v>764</v>
      </c>
      <c r="D687" s="37" t="s">
        <v>13</v>
      </c>
      <c r="E687" s="39">
        <v>0</v>
      </c>
      <c r="F687" s="39">
        <v>13977</v>
      </c>
      <c r="G687" s="12"/>
      <c r="H687" s="12">
        <f t="shared" si="31"/>
        <v>0</v>
      </c>
      <c r="I687" s="12">
        <f t="shared" si="32"/>
        <v>0</v>
      </c>
      <c r="J687" s="12">
        <f t="shared" si="33"/>
        <v>0</v>
      </c>
      <c r="K687" s="14"/>
    </row>
    <row r="688" spans="1:11" ht="14.5" x14ac:dyDescent="0.3">
      <c r="A688" s="37">
        <v>680</v>
      </c>
      <c r="B688" s="40" t="s">
        <v>780</v>
      </c>
      <c r="C688" s="38" t="s">
        <v>779</v>
      </c>
      <c r="D688" s="37" t="s">
        <v>740</v>
      </c>
      <c r="E688" s="39">
        <v>15990</v>
      </c>
      <c r="F688" s="41">
        <v>0</v>
      </c>
      <c r="G688" s="12"/>
      <c r="H688" s="12">
        <f t="shared" si="31"/>
        <v>0</v>
      </c>
      <c r="I688" s="12">
        <f t="shared" si="32"/>
        <v>0</v>
      </c>
      <c r="J688" s="12">
        <f t="shared" si="33"/>
        <v>0</v>
      </c>
      <c r="K688" s="14"/>
    </row>
    <row r="689" spans="1:11" ht="14.5" x14ac:dyDescent="0.3">
      <c r="A689" s="37">
        <v>681</v>
      </c>
      <c r="B689" s="40" t="s">
        <v>781</v>
      </c>
      <c r="C689" s="38" t="s">
        <v>779</v>
      </c>
      <c r="D689" s="37" t="s">
        <v>740</v>
      </c>
      <c r="E689" s="41">
        <v>0</v>
      </c>
      <c r="F689" s="39">
        <v>9030</v>
      </c>
      <c r="G689" s="12"/>
      <c r="H689" s="12">
        <f t="shared" si="31"/>
        <v>0</v>
      </c>
      <c r="I689" s="12">
        <f t="shared" si="32"/>
        <v>0</v>
      </c>
      <c r="J689" s="12">
        <f t="shared" si="33"/>
        <v>0</v>
      </c>
      <c r="K689" s="14"/>
    </row>
    <row r="690" spans="1:11" ht="14.5" x14ac:dyDescent="0.3">
      <c r="A690" s="37">
        <v>682</v>
      </c>
      <c r="B690" s="37" t="s">
        <v>783</v>
      </c>
      <c r="C690" s="38" t="s">
        <v>782</v>
      </c>
      <c r="D690" s="37" t="s">
        <v>740</v>
      </c>
      <c r="E690" s="39">
        <v>29590</v>
      </c>
      <c r="F690" s="39">
        <v>0</v>
      </c>
      <c r="G690" s="12"/>
      <c r="H690" s="12">
        <f t="shared" si="31"/>
        <v>0</v>
      </c>
      <c r="I690" s="12">
        <f t="shared" si="32"/>
        <v>0</v>
      </c>
      <c r="J690" s="12">
        <f t="shared" si="33"/>
        <v>0</v>
      </c>
      <c r="K690" s="14"/>
    </row>
    <row r="691" spans="1:11" ht="14.5" x14ac:dyDescent="0.3">
      <c r="A691" s="37">
        <v>683</v>
      </c>
      <c r="B691" s="40" t="s">
        <v>784</v>
      </c>
      <c r="C691" s="38" t="s">
        <v>782</v>
      </c>
      <c r="D691" s="37" t="s">
        <v>740</v>
      </c>
      <c r="E691" s="39">
        <v>0</v>
      </c>
      <c r="F691" s="41">
        <v>14100</v>
      </c>
      <c r="G691" s="12"/>
      <c r="H691" s="12">
        <f t="shared" si="31"/>
        <v>0</v>
      </c>
      <c r="I691" s="12">
        <f t="shared" si="32"/>
        <v>0</v>
      </c>
      <c r="J691" s="12">
        <f t="shared" si="33"/>
        <v>0</v>
      </c>
      <c r="K691" s="14"/>
    </row>
    <row r="692" spans="1:11" ht="14.5" x14ac:dyDescent="0.3">
      <c r="A692" s="37">
        <v>684</v>
      </c>
      <c r="B692" s="40" t="s">
        <v>709</v>
      </c>
      <c r="C692" s="38" t="s">
        <v>708</v>
      </c>
      <c r="D692" s="37" t="s">
        <v>71</v>
      </c>
      <c r="E692" s="41">
        <v>45560</v>
      </c>
      <c r="F692" s="39">
        <v>0</v>
      </c>
      <c r="G692" s="12"/>
      <c r="H692" s="12">
        <f t="shared" si="31"/>
        <v>0</v>
      </c>
      <c r="I692" s="12">
        <f t="shared" si="32"/>
        <v>0</v>
      </c>
      <c r="J692" s="12">
        <f t="shared" si="33"/>
        <v>0</v>
      </c>
      <c r="K692" s="14"/>
    </row>
    <row r="693" spans="1:11" ht="14.5" x14ac:dyDescent="0.3">
      <c r="A693" s="37">
        <v>685</v>
      </c>
      <c r="B693" s="37" t="s">
        <v>710</v>
      </c>
      <c r="C693" s="38" t="s">
        <v>708</v>
      </c>
      <c r="D693" s="37" t="s">
        <v>71</v>
      </c>
      <c r="E693" s="39">
        <v>0</v>
      </c>
      <c r="F693" s="39">
        <v>12440</v>
      </c>
      <c r="G693" s="12"/>
      <c r="H693" s="12">
        <f t="shared" si="31"/>
        <v>0</v>
      </c>
      <c r="I693" s="12">
        <f t="shared" si="32"/>
        <v>0</v>
      </c>
      <c r="J693" s="12">
        <f t="shared" si="33"/>
        <v>0</v>
      </c>
      <c r="K693" s="14"/>
    </row>
    <row r="694" spans="1:11" ht="14.5" x14ac:dyDescent="0.3">
      <c r="A694" s="37">
        <v>686</v>
      </c>
      <c r="B694" s="40" t="s">
        <v>1120</v>
      </c>
      <c r="C694" s="38" t="s">
        <v>1172</v>
      </c>
      <c r="D694" s="37" t="s">
        <v>17</v>
      </c>
      <c r="E694" s="39">
        <v>6500</v>
      </c>
      <c r="F694" s="41">
        <v>0</v>
      </c>
      <c r="G694" s="12"/>
      <c r="H694" s="12">
        <f t="shared" si="31"/>
        <v>0</v>
      </c>
      <c r="I694" s="12">
        <f t="shared" si="32"/>
        <v>0</v>
      </c>
      <c r="J694" s="12">
        <f t="shared" si="33"/>
        <v>0</v>
      </c>
      <c r="K694" s="14"/>
    </row>
    <row r="695" spans="1:11" ht="29" x14ac:dyDescent="0.3">
      <c r="A695" s="37">
        <v>687</v>
      </c>
      <c r="B695" s="40" t="s">
        <v>348</v>
      </c>
      <c r="C695" s="38" t="s">
        <v>347</v>
      </c>
      <c r="D695" s="37" t="s">
        <v>13</v>
      </c>
      <c r="E695" s="41">
        <v>216861</v>
      </c>
      <c r="F695" s="39">
        <v>0</v>
      </c>
      <c r="G695" s="12"/>
      <c r="H695" s="12">
        <f t="shared" si="31"/>
        <v>0</v>
      </c>
      <c r="I695" s="12">
        <f t="shared" si="32"/>
        <v>0</v>
      </c>
      <c r="J695" s="12">
        <f t="shared" si="33"/>
        <v>0</v>
      </c>
      <c r="K695" s="14"/>
    </row>
    <row r="696" spans="1:11" ht="29" x14ac:dyDescent="0.3">
      <c r="A696" s="37">
        <v>688</v>
      </c>
      <c r="B696" s="37" t="s">
        <v>349</v>
      </c>
      <c r="C696" s="38" t="s">
        <v>347</v>
      </c>
      <c r="D696" s="37" t="s">
        <v>13</v>
      </c>
      <c r="E696" s="39">
        <v>0</v>
      </c>
      <c r="F696" s="39">
        <v>58000</v>
      </c>
      <c r="G696" s="12"/>
      <c r="H696" s="12">
        <f t="shared" si="31"/>
        <v>0</v>
      </c>
      <c r="I696" s="12">
        <f t="shared" si="32"/>
        <v>0</v>
      </c>
      <c r="J696" s="12">
        <f t="shared" si="33"/>
        <v>0</v>
      </c>
      <c r="K696" s="14"/>
    </row>
    <row r="697" spans="1:11" ht="14.5" x14ac:dyDescent="0.3">
      <c r="A697" s="37">
        <v>689</v>
      </c>
      <c r="B697" s="40" t="s">
        <v>1121</v>
      </c>
      <c r="C697" s="38" t="s">
        <v>1173</v>
      </c>
      <c r="D697" s="37" t="s">
        <v>12</v>
      </c>
      <c r="E697" s="39">
        <v>5100</v>
      </c>
      <c r="F697" s="41">
        <v>0</v>
      </c>
      <c r="G697" s="12"/>
      <c r="H697" s="12">
        <f t="shared" si="31"/>
        <v>0</v>
      </c>
      <c r="I697" s="12">
        <f t="shared" si="32"/>
        <v>0</v>
      </c>
      <c r="J697" s="12">
        <f t="shared" si="33"/>
        <v>0</v>
      </c>
      <c r="K697" s="14"/>
    </row>
    <row r="698" spans="1:11" ht="14.5" x14ac:dyDescent="0.3">
      <c r="A698" s="37">
        <v>690</v>
      </c>
      <c r="B698" s="40" t="s">
        <v>1147</v>
      </c>
      <c r="C698" s="38" t="s">
        <v>1173</v>
      </c>
      <c r="D698" s="37" t="s">
        <v>12</v>
      </c>
      <c r="E698" s="41">
        <v>0</v>
      </c>
      <c r="F698" s="39">
        <v>765</v>
      </c>
      <c r="G698" s="12"/>
      <c r="H698" s="12">
        <f t="shared" si="31"/>
        <v>0</v>
      </c>
      <c r="I698" s="12">
        <f t="shared" si="32"/>
        <v>0</v>
      </c>
      <c r="J698" s="12">
        <f t="shared" si="33"/>
        <v>0</v>
      </c>
      <c r="K698" s="14"/>
    </row>
    <row r="699" spans="1:11" ht="29" x14ac:dyDescent="0.3">
      <c r="A699" s="37">
        <v>691</v>
      </c>
      <c r="B699" s="37" t="s">
        <v>800</v>
      </c>
      <c r="C699" s="38" t="s">
        <v>799</v>
      </c>
      <c r="D699" s="37" t="s">
        <v>712</v>
      </c>
      <c r="E699" s="39">
        <v>29838</v>
      </c>
      <c r="F699" s="39">
        <v>0</v>
      </c>
      <c r="G699" s="12"/>
      <c r="H699" s="12">
        <f t="shared" si="31"/>
        <v>0</v>
      </c>
      <c r="I699" s="12">
        <f t="shared" si="32"/>
        <v>0</v>
      </c>
      <c r="J699" s="12">
        <f t="shared" si="33"/>
        <v>0</v>
      </c>
      <c r="K699" s="14"/>
    </row>
    <row r="700" spans="1:11" ht="29" x14ac:dyDescent="0.3">
      <c r="A700" s="37">
        <v>692</v>
      </c>
      <c r="B700" s="40" t="s">
        <v>801</v>
      </c>
      <c r="C700" s="38" t="s">
        <v>799</v>
      </c>
      <c r="D700" s="37" t="s">
        <v>712</v>
      </c>
      <c r="E700" s="39">
        <v>0</v>
      </c>
      <c r="F700" s="41">
        <v>3604</v>
      </c>
      <c r="G700" s="12"/>
      <c r="H700" s="12">
        <f t="shared" si="31"/>
        <v>0</v>
      </c>
      <c r="I700" s="12">
        <f t="shared" si="32"/>
        <v>0</v>
      </c>
      <c r="J700" s="12">
        <f t="shared" si="33"/>
        <v>0</v>
      </c>
      <c r="K700" s="14"/>
    </row>
    <row r="701" spans="1:11" ht="43.5" x14ac:dyDescent="0.3">
      <c r="A701" s="37">
        <v>693</v>
      </c>
      <c r="B701" s="40" t="s">
        <v>286</v>
      </c>
      <c r="C701" s="38" t="s">
        <v>277</v>
      </c>
      <c r="D701" s="37" t="s">
        <v>13</v>
      </c>
      <c r="E701" s="41">
        <v>588002</v>
      </c>
      <c r="F701" s="39">
        <v>0</v>
      </c>
      <c r="G701" s="12"/>
      <c r="H701" s="12">
        <f t="shared" si="31"/>
        <v>0</v>
      </c>
      <c r="I701" s="12">
        <f t="shared" si="32"/>
        <v>0</v>
      </c>
      <c r="J701" s="12">
        <f t="shared" si="33"/>
        <v>0</v>
      </c>
      <c r="K701" s="14"/>
    </row>
    <row r="702" spans="1:11" ht="43.5" x14ac:dyDescent="0.3">
      <c r="A702" s="37">
        <v>694</v>
      </c>
      <c r="B702" s="37" t="s">
        <v>287</v>
      </c>
      <c r="C702" s="38" t="s">
        <v>277</v>
      </c>
      <c r="D702" s="37" t="s">
        <v>13</v>
      </c>
      <c r="E702" s="39">
        <v>0</v>
      </c>
      <c r="F702" s="39">
        <v>280000</v>
      </c>
      <c r="G702" s="12"/>
      <c r="H702" s="12">
        <f t="shared" si="31"/>
        <v>0</v>
      </c>
      <c r="I702" s="12">
        <f t="shared" si="32"/>
        <v>0</v>
      </c>
      <c r="J702" s="12">
        <f t="shared" si="33"/>
        <v>0</v>
      </c>
      <c r="K702" s="14"/>
    </row>
    <row r="703" spans="1:11" ht="43.5" x14ac:dyDescent="0.3">
      <c r="A703" s="37">
        <v>695</v>
      </c>
      <c r="B703" s="40" t="s">
        <v>641</v>
      </c>
      <c r="C703" s="38" t="s">
        <v>79</v>
      </c>
      <c r="D703" s="37" t="s">
        <v>13</v>
      </c>
      <c r="E703" s="39">
        <v>7529100</v>
      </c>
      <c r="F703" s="41">
        <v>0</v>
      </c>
      <c r="G703" s="12"/>
      <c r="H703" s="12">
        <f t="shared" si="31"/>
        <v>0</v>
      </c>
      <c r="I703" s="12">
        <f t="shared" si="32"/>
        <v>0</v>
      </c>
      <c r="J703" s="12">
        <f t="shared" si="33"/>
        <v>0</v>
      </c>
      <c r="K703" s="14"/>
    </row>
    <row r="704" spans="1:11" ht="43.5" x14ac:dyDescent="0.3">
      <c r="A704" s="37">
        <v>696</v>
      </c>
      <c r="B704" s="40" t="s">
        <v>642</v>
      </c>
      <c r="C704" s="38" t="s">
        <v>79</v>
      </c>
      <c r="D704" s="37" t="s">
        <v>13</v>
      </c>
      <c r="E704" s="41">
        <v>0</v>
      </c>
      <c r="F704" s="39">
        <v>85000</v>
      </c>
      <c r="G704" s="12"/>
      <c r="H704" s="12">
        <f t="shared" si="31"/>
        <v>0</v>
      </c>
      <c r="I704" s="12">
        <f t="shared" si="32"/>
        <v>0</v>
      </c>
      <c r="J704" s="12">
        <f t="shared" si="33"/>
        <v>0</v>
      </c>
      <c r="K704" s="14"/>
    </row>
    <row r="705" spans="1:11" ht="43.5" x14ac:dyDescent="0.3">
      <c r="A705" s="37">
        <v>697</v>
      </c>
      <c r="B705" s="37" t="s">
        <v>289</v>
      </c>
      <c r="C705" s="38" t="s">
        <v>288</v>
      </c>
      <c r="D705" s="37" t="s">
        <v>13</v>
      </c>
      <c r="E705" s="39">
        <v>950009</v>
      </c>
      <c r="F705" s="39">
        <v>0</v>
      </c>
      <c r="G705" s="12"/>
      <c r="H705" s="12">
        <f t="shared" si="31"/>
        <v>0</v>
      </c>
      <c r="I705" s="12">
        <f t="shared" si="32"/>
        <v>0</v>
      </c>
      <c r="J705" s="12">
        <f t="shared" si="33"/>
        <v>0</v>
      </c>
      <c r="K705" s="14"/>
    </row>
    <row r="706" spans="1:11" ht="43.5" x14ac:dyDescent="0.3">
      <c r="A706" s="37">
        <v>698</v>
      </c>
      <c r="B706" s="40" t="s">
        <v>290</v>
      </c>
      <c r="C706" s="38" t="s">
        <v>288</v>
      </c>
      <c r="D706" s="37" t="s">
        <v>13</v>
      </c>
      <c r="E706" s="39">
        <v>0</v>
      </c>
      <c r="F706" s="41">
        <v>650000</v>
      </c>
      <c r="G706" s="12"/>
      <c r="H706" s="12">
        <f t="shared" si="31"/>
        <v>0</v>
      </c>
      <c r="I706" s="12">
        <f t="shared" si="32"/>
        <v>0</v>
      </c>
      <c r="J706" s="12">
        <f t="shared" si="33"/>
        <v>0</v>
      </c>
      <c r="K706" s="14"/>
    </row>
    <row r="707" spans="1:11" ht="43.5" x14ac:dyDescent="0.3">
      <c r="A707" s="37">
        <v>699</v>
      </c>
      <c r="B707" s="40" t="s">
        <v>292</v>
      </c>
      <c r="C707" s="38" t="s">
        <v>291</v>
      </c>
      <c r="D707" s="37" t="s">
        <v>13</v>
      </c>
      <c r="E707" s="41">
        <v>2153375</v>
      </c>
      <c r="F707" s="39">
        <v>0</v>
      </c>
      <c r="G707" s="12"/>
      <c r="H707" s="12">
        <f t="shared" si="31"/>
        <v>0</v>
      </c>
      <c r="I707" s="12">
        <f t="shared" si="32"/>
        <v>0</v>
      </c>
      <c r="J707" s="12">
        <f t="shared" si="33"/>
        <v>0</v>
      </c>
      <c r="K707" s="14"/>
    </row>
    <row r="708" spans="1:11" ht="43.5" x14ac:dyDescent="0.3">
      <c r="A708" s="37">
        <v>700</v>
      </c>
      <c r="B708" s="37" t="s">
        <v>293</v>
      </c>
      <c r="C708" s="38" t="s">
        <v>291</v>
      </c>
      <c r="D708" s="37" t="s">
        <v>13</v>
      </c>
      <c r="E708" s="39">
        <v>0</v>
      </c>
      <c r="F708" s="39">
        <v>1850000</v>
      </c>
      <c r="G708" s="12"/>
      <c r="H708" s="12">
        <f t="shared" si="31"/>
        <v>0</v>
      </c>
      <c r="I708" s="12">
        <f t="shared" si="32"/>
        <v>0</v>
      </c>
      <c r="J708" s="12">
        <f t="shared" si="33"/>
        <v>0</v>
      </c>
      <c r="K708" s="14"/>
    </row>
    <row r="709" spans="1:11" ht="43.5" x14ac:dyDescent="0.3">
      <c r="A709" s="37">
        <v>701</v>
      </c>
      <c r="B709" s="40" t="s">
        <v>295</v>
      </c>
      <c r="C709" s="38" t="s">
        <v>294</v>
      </c>
      <c r="D709" s="37" t="s">
        <v>13</v>
      </c>
      <c r="E709" s="39">
        <v>4958659</v>
      </c>
      <c r="F709" s="41">
        <v>0</v>
      </c>
      <c r="G709" s="12"/>
      <c r="H709" s="12">
        <f t="shared" si="31"/>
        <v>0</v>
      </c>
      <c r="I709" s="12">
        <f t="shared" si="32"/>
        <v>0</v>
      </c>
      <c r="J709" s="12">
        <f t="shared" si="33"/>
        <v>0</v>
      </c>
      <c r="K709" s="14"/>
    </row>
    <row r="710" spans="1:11" ht="43.5" x14ac:dyDescent="0.3">
      <c r="A710" s="37">
        <v>702</v>
      </c>
      <c r="B710" s="40" t="s">
        <v>296</v>
      </c>
      <c r="C710" s="38" t="s">
        <v>294</v>
      </c>
      <c r="D710" s="37" t="s">
        <v>13</v>
      </c>
      <c r="E710" s="41">
        <v>0</v>
      </c>
      <c r="F710" s="39">
        <v>5339090</v>
      </c>
      <c r="G710" s="12"/>
      <c r="H710" s="12">
        <f t="shared" si="31"/>
        <v>0</v>
      </c>
      <c r="I710" s="12">
        <f t="shared" si="32"/>
        <v>0</v>
      </c>
      <c r="J710" s="12">
        <f t="shared" si="33"/>
        <v>0</v>
      </c>
      <c r="K710" s="14"/>
    </row>
    <row r="711" spans="1:11" ht="29" x14ac:dyDescent="0.3">
      <c r="A711" s="37">
        <v>703</v>
      </c>
      <c r="B711" s="37" t="s">
        <v>1122</v>
      </c>
      <c r="C711" s="38" t="s">
        <v>1174</v>
      </c>
      <c r="D711" s="37" t="s">
        <v>13</v>
      </c>
      <c r="E711" s="39">
        <v>6450</v>
      </c>
      <c r="F711" s="39">
        <v>0</v>
      </c>
      <c r="G711" s="12"/>
      <c r="H711" s="12">
        <f t="shared" si="31"/>
        <v>0</v>
      </c>
      <c r="I711" s="12">
        <f t="shared" si="32"/>
        <v>0</v>
      </c>
      <c r="J711" s="12">
        <f t="shared" si="33"/>
        <v>0</v>
      </c>
      <c r="K711" s="14"/>
    </row>
    <row r="712" spans="1:11" ht="29" x14ac:dyDescent="0.3">
      <c r="A712" s="37">
        <v>704</v>
      </c>
      <c r="B712" s="40" t="s">
        <v>899</v>
      </c>
      <c r="C712" s="38" t="s">
        <v>898</v>
      </c>
      <c r="D712" s="37" t="s">
        <v>712</v>
      </c>
      <c r="E712" s="39">
        <v>98500</v>
      </c>
      <c r="F712" s="41">
        <v>0</v>
      </c>
      <c r="G712" s="12"/>
      <c r="H712" s="12">
        <f t="shared" si="31"/>
        <v>0</v>
      </c>
      <c r="I712" s="12">
        <f t="shared" si="32"/>
        <v>0</v>
      </c>
      <c r="J712" s="12">
        <f t="shared" si="33"/>
        <v>0</v>
      </c>
      <c r="K712" s="14"/>
    </row>
    <row r="713" spans="1:11" ht="29" x14ac:dyDescent="0.3">
      <c r="A713" s="37">
        <v>705</v>
      </c>
      <c r="B713" s="40" t="s">
        <v>900</v>
      </c>
      <c r="C713" s="38" t="s">
        <v>898</v>
      </c>
      <c r="D713" s="37" t="s">
        <v>712</v>
      </c>
      <c r="E713" s="41">
        <v>0</v>
      </c>
      <c r="F713" s="39">
        <v>39800</v>
      </c>
      <c r="G713" s="12"/>
      <c r="H713" s="12">
        <f t="shared" si="31"/>
        <v>0</v>
      </c>
      <c r="I713" s="12">
        <f t="shared" si="32"/>
        <v>0</v>
      </c>
      <c r="J713" s="12">
        <f t="shared" si="33"/>
        <v>0</v>
      </c>
      <c r="K713" s="14"/>
    </row>
    <row r="714" spans="1:11" ht="29" x14ac:dyDescent="0.3">
      <c r="A714" s="37">
        <v>706</v>
      </c>
      <c r="B714" s="37" t="s">
        <v>902</v>
      </c>
      <c r="C714" s="38" t="s">
        <v>901</v>
      </c>
      <c r="D714" s="37" t="s">
        <v>712</v>
      </c>
      <c r="E714" s="39">
        <v>118500</v>
      </c>
      <c r="F714" s="39">
        <v>0</v>
      </c>
      <c r="G714" s="12"/>
      <c r="H714" s="12">
        <f t="shared" ref="H714:H732" si="34">E714*G714</f>
        <v>0</v>
      </c>
      <c r="I714" s="12">
        <f t="shared" ref="I714:I732" si="35">F714*G714</f>
        <v>0</v>
      </c>
      <c r="J714" s="12">
        <f t="shared" ref="J714:J732" si="36">SUM(H714:I714)</f>
        <v>0</v>
      </c>
      <c r="K714" s="14"/>
    </row>
    <row r="715" spans="1:11" ht="29" x14ac:dyDescent="0.3">
      <c r="A715" s="37">
        <v>707</v>
      </c>
      <c r="B715" s="40" t="s">
        <v>903</v>
      </c>
      <c r="C715" s="38" t="s">
        <v>901</v>
      </c>
      <c r="D715" s="37" t="s">
        <v>712</v>
      </c>
      <c r="E715" s="39">
        <v>0</v>
      </c>
      <c r="F715" s="41">
        <v>39800</v>
      </c>
      <c r="G715" s="12"/>
      <c r="H715" s="12">
        <f t="shared" si="34"/>
        <v>0</v>
      </c>
      <c r="I715" s="12">
        <f t="shared" si="35"/>
        <v>0</v>
      </c>
      <c r="J715" s="12">
        <f t="shared" si="36"/>
        <v>0</v>
      </c>
      <c r="K715" s="14"/>
    </row>
    <row r="716" spans="1:11" ht="29" x14ac:dyDescent="0.3">
      <c r="A716" s="37">
        <v>708</v>
      </c>
      <c r="B716" s="40" t="s">
        <v>905</v>
      </c>
      <c r="C716" s="38" t="s">
        <v>904</v>
      </c>
      <c r="D716" s="37" t="s">
        <v>712</v>
      </c>
      <c r="E716" s="41">
        <v>49200</v>
      </c>
      <c r="F716" s="39">
        <v>0</v>
      </c>
      <c r="G716" s="12"/>
      <c r="H716" s="12">
        <f t="shared" si="34"/>
        <v>0</v>
      </c>
      <c r="I716" s="12">
        <f t="shared" si="35"/>
        <v>0</v>
      </c>
      <c r="J716" s="12">
        <f t="shared" si="36"/>
        <v>0</v>
      </c>
      <c r="K716" s="14"/>
    </row>
    <row r="717" spans="1:11" ht="29" x14ac:dyDescent="0.3">
      <c r="A717" s="37">
        <v>709</v>
      </c>
      <c r="B717" s="37" t="s">
        <v>906</v>
      </c>
      <c r="C717" s="38" t="s">
        <v>904</v>
      </c>
      <c r="D717" s="37" t="s">
        <v>712</v>
      </c>
      <c r="E717" s="39">
        <v>0</v>
      </c>
      <c r="F717" s="39">
        <v>41961</v>
      </c>
      <c r="G717" s="12"/>
      <c r="H717" s="12">
        <f t="shared" si="34"/>
        <v>0</v>
      </c>
      <c r="I717" s="12">
        <f t="shared" si="35"/>
        <v>0</v>
      </c>
      <c r="J717" s="12">
        <f t="shared" si="36"/>
        <v>0</v>
      </c>
      <c r="K717" s="14"/>
    </row>
    <row r="718" spans="1:11" ht="29" x14ac:dyDescent="0.3">
      <c r="A718" s="37">
        <v>710</v>
      </c>
      <c r="B718" s="40" t="s">
        <v>908</v>
      </c>
      <c r="C718" s="38" t="s">
        <v>907</v>
      </c>
      <c r="D718" s="37" t="s">
        <v>712</v>
      </c>
      <c r="E718" s="39">
        <v>75000</v>
      </c>
      <c r="F718" s="41">
        <v>0</v>
      </c>
      <c r="G718" s="12"/>
      <c r="H718" s="12">
        <f t="shared" si="34"/>
        <v>0</v>
      </c>
      <c r="I718" s="12">
        <f t="shared" si="35"/>
        <v>0</v>
      </c>
      <c r="J718" s="12">
        <f t="shared" si="36"/>
        <v>0</v>
      </c>
      <c r="K718" s="14"/>
    </row>
    <row r="719" spans="1:11" ht="29" x14ac:dyDescent="0.3">
      <c r="A719" s="37">
        <v>711</v>
      </c>
      <c r="B719" s="40" t="s">
        <v>909</v>
      </c>
      <c r="C719" s="38" t="s">
        <v>907</v>
      </c>
      <c r="D719" s="37" t="s">
        <v>712</v>
      </c>
      <c r="E719" s="41">
        <v>0</v>
      </c>
      <c r="F719" s="39">
        <v>41863</v>
      </c>
      <c r="G719" s="12"/>
      <c r="H719" s="12">
        <f t="shared" si="34"/>
        <v>0</v>
      </c>
      <c r="I719" s="12">
        <f t="shared" si="35"/>
        <v>0</v>
      </c>
      <c r="J719" s="12">
        <f t="shared" si="36"/>
        <v>0</v>
      </c>
      <c r="K719" s="14"/>
    </row>
    <row r="720" spans="1:11" ht="29" x14ac:dyDescent="0.3">
      <c r="A720" s="37">
        <v>712</v>
      </c>
      <c r="B720" s="37" t="s">
        <v>879</v>
      </c>
      <c r="C720" s="38" t="s">
        <v>878</v>
      </c>
      <c r="D720" s="37" t="s">
        <v>712</v>
      </c>
      <c r="E720" s="39">
        <v>150000</v>
      </c>
      <c r="F720" s="39">
        <v>0</v>
      </c>
      <c r="G720" s="12"/>
      <c r="H720" s="12">
        <f t="shared" si="34"/>
        <v>0</v>
      </c>
      <c r="I720" s="12">
        <f t="shared" si="35"/>
        <v>0</v>
      </c>
      <c r="J720" s="12">
        <f t="shared" si="36"/>
        <v>0</v>
      </c>
      <c r="K720" s="14"/>
    </row>
    <row r="721" spans="1:11" ht="29" x14ac:dyDescent="0.3">
      <c r="A721" s="37">
        <v>713</v>
      </c>
      <c r="B721" s="40" t="s">
        <v>880</v>
      </c>
      <c r="C721" s="38" t="s">
        <v>878</v>
      </c>
      <c r="D721" s="37" t="s">
        <v>712</v>
      </c>
      <c r="E721" s="39">
        <v>0</v>
      </c>
      <c r="F721" s="41">
        <v>42500</v>
      </c>
      <c r="G721" s="12"/>
      <c r="H721" s="12">
        <f t="shared" si="34"/>
        <v>0</v>
      </c>
      <c r="I721" s="12">
        <f t="shared" si="35"/>
        <v>0</v>
      </c>
      <c r="J721" s="12">
        <f t="shared" si="36"/>
        <v>0</v>
      </c>
      <c r="K721" s="14"/>
    </row>
    <row r="722" spans="1:11" ht="29" x14ac:dyDescent="0.3">
      <c r="A722" s="37">
        <v>714</v>
      </c>
      <c r="B722" s="40" t="s">
        <v>671</v>
      </c>
      <c r="C722" s="38" t="s">
        <v>100</v>
      </c>
      <c r="D722" s="37" t="s">
        <v>12</v>
      </c>
      <c r="E722" s="41">
        <v>29764</v>
      </c>
      <c r="F722" s="39">
        <v>0</v>
      </c>
      <c r="G722" s="12"/>
      <c r="H722" s="12">
        <f t="shared" si="34"/>
        <v>0</v>
      </c>
      <c r="I722" s="12">
        <f t="shared" si="35"/>
        <v>0</v>
      </c>
      <c r="J722" s="12">
        <f t="shared" si="36"/>
        <v>0</v>
      </c>
      <c r="K722" s="14"/>
    </row>
    <row r="723" spans="1:11" ht="29" x14ac:dyDescent="0.3">
      <c r="A723" s="37">
        <v>715</v>
      </c>
      <c r="B723" s="37" t="s">
        <v>672</v>
      </c>
      <c r="C723" s="38" t="s">
        <v>100</v>
      </c>
      <c r="D723" s="37" t="s">
        <v>12</v>
      </c>
      <c r="E723" s="39">
        <v>0</v>
      </c>
      <c r="F723" s="39">
        <v>40180</v>
      </c>
      <c r="G723" s="12"/>
      <c r="H723" s="12">
        <f t="shared" si="34"/>
        <v>0</v>
      </c>
      <c r="I723" s="12">
        <f t="shared" si="35"/>
        <v>0</v>
      </c>
      <c r="J723" s="12">
        <f t="shared" si="36"/>
        <v>0</v>
      </c>
      <c r="K723" s="14"/>
    </row>
    <row r="724" spans="1:11" ht="14.5" x14ac:dyDescent="0.3">
      <c r="A724" s="37">
        <v>716</v>
      </c>
      <c r="B724" s="40" t="s">
        <v>777</v>
      </c>
      <c r="C724" s="38" t="s">
        <v>776</v>
      </c>
      <c r="D724" s="37" t="s">
        <v>13</v>
      </c>
      <c r="E724" s="39">
        <v>13000</v>
      </c>
      <c r="F724" s="41">
        <v>0</v>
      </c>
      <c r="G724" s="12"/>
      <c r="H724" s="12">
        <f t="shared" si="34"/>
        <v>0</v>
      </c>
      <c r="I724" s="12">
        <f t="shared" si="35"/>
        <v>0</v>
      </c>
      <c r="J724" s="12">
        <f t="shared" si="36"/>
        <v>0</v>
      </c>
      <c r="K724" s="14"/>
    </row>
    <row r="725" spans="1:11" ht="14.5" x14ac:dyDescent="0.3">
      <c r="A725" s="37">
        <v>717</v>
      </c>
      <c r="B725" s="40" t="s">
        <v>778</v>
      </c>
      <c r="C725" s="38" t="s">
        <v>776</v>
      </c>
      <c r="D725" s="37" t="s">
        <v>13</v>
      </c>
      <c r="E725" s="41">
        <v>0</v>
      </c>
      <c r="F725" s="39">
        <v>4500</v>
      </c>
      <c r="G725" s="12"/>
      <c r="H725" s="12">
        <f t="shared" si="34"/>
        <v>0</v>
      </c>
      <c r="I725" s="12">
        <f t="shared" si="35"/>
        <v>0</v>
      </c>
      <c r="J725" s="12">
        <f t="shared" si="36"/>
        <v>0</v>
      </c>
      <c r="K725" s="14"/>
    </row>
    <row r="726" spans="1:11" ht="14.5" x14ac:dyDescent="0.3">
      <c r="A726" s="37">
        <v>718</v>
      </c>
      <c r="B726" s="37" t="s">
        <v>809</v>
      </c>
      <c r="C726" s="38" t="s">
        <v>808</v>
      </c>
      <c r="D726" s="37" t="s">
        <v>71</v>
      </c>
      <c r="E726" s="39">
        <v>1360000</v>
      </c>
      <c r="F726" s="39">
        <v>0</v>
      </c>
      <c r="G726" s="12"/>
      <c r="H726" s="12">
        <f t="shared" si="34"/>
        <v>0</v>
      </c>
      <c r="I726" s="12">
        <f t="shared" si="35"/>
        <v>0</v>
      </c>
      <c r="J726" s="12">
        <f t="shared" si="36"/>
        <v>0</v>
      </c>
      <c r="K726" s="14"/>
    </row>
    <row r="727" spans="1:11" ht="14.5" x14ac:dyDescent="0.3">
      <c r="A727" s="37">
        <v>719</v>
      </c>
      <c r="B727" s="40" t="s">
        <v>810</v>
      </c>
      <c r="C727" s="38" t="s">
        <v>808</v>
      </c>
      <c r="D727" s="37" t="s">
        <v>71</v>
      </c>
      <c r="E727" s="39">
        <v>0</v>
      </c>
      <c r="F727" s="41">
        <v>415000</v>
      </c>
      <c r="G727" s="12"/>
      <c r="H727" s="12">
        <f t="shared" si="34"/>
        <v>0</v>
      </c>
      <c r="I727" s="12">
        <f t="shared" si="35"/>
        <v>0</v>
      </c>
      <c r="J727" s="12">
        <f t="shared" si="36"/>
        <v>0</v>
      </c>
      <c r="K727" s="14"/>
    </row>
    <row r="728" spans="1:11" ht="14.5" x14ac:dyDescent="0.3">
      <c r="A728" s="37">
        <v>720</v>
      </c>
      <c r="B728" s="40" t="s">
        <v>795</v>
      </c>
      <c r="C728" s="38" t="s">
        <v>1175</v>
      </c>
      <c r="D728" s="37" t="s">
        <v>12</v>
      </c>
      <c r="E728" s="41">
        <v>7110</v>
      </c>
      <c r="F728" s="39">
        <v>0</v>
      </c>
      <c r="G728" s="12"/>
      <c r="H728" s="12">
        <f t="shared" si="34"/>
        <v>0</v>
      </c>
      <c r="I728" s="12">
        <f t="shared" si="35"/>
        <v>0</v>
      </c>
      <c r="J728" s="12">
        <f t="shared" si="36"/>
        <v>0</v>
      </c>
      <c r="K728" s="14"/>
    </row>
    <row r="729" spans="1:11" ht="14.5" x14ac:dyDescent="0.3">
      <c r="A729" s="37">
        <v>721</v>
      </c>
      <c r="B729" s="37" t="s">
        <v>796</v>
      </c>
      <c r="C729" s="38" t="s">
        <v>1175</v>
      </c>
      <c r="D729" s="37" t="s">
        <v>12</v>
      </c>
      <c r="E729" s="39">
        <v>0</v>
      </c>
      <c r="F729" s="39">
        <v>711</v>
      </c>
      <c r="G729" s="12"/>
      <c r="H729" s="12">
        <f t="shared" si="34"/>
        <v>0</v>
      </c>
      <c r="I729" s="12">
        <f t="shared" si="35"/>
        <v>0</v>
      </c>
      <c r="J729" s="12">
        <f t="shared" si="36"/>
        <v>0</v>
      </c>
      <c r="K729" s="14"/>
    </row>
    <row r="730" spans="1:11" ht="29" x14ac:dyDescent="0.3">
      <c r="A730" s="37">
        <v>722</v>
      </c>
      <c r="B730" s="40" t="s">
        <v>912</v>
      </c>
      <c r="C730" s="38" t="s">
        <v>910</v>
      </c>
      <c r="D730" s="37" t="s">
        <v>911</v>
      </c>
      <c r="E730" s="39">
        <v>47600</v>
      </c>
      <c r="F730" s="41">
        <v>0</v>
      </c>
      <c r="G730" s="12"/>
      <c r="H730" s="12">
        <f t="shared" si="34"/>
        <v>0</v>
      </c>
      <c r="I730" s="12">
        <f t="shared" si="35"/>
        <v>0</v>
      </c>
      <c r="J730" s="12">
        <f t="shared" si="36"/>
        <v>0</v>
      </c>
      <c r="K730" s="14"/>
    </row>
    <row r="731" spans="1:11" ht="29" x14ac:dyDescent="0.3">
      <c r="A731" s="37">
        <v>723</v>
      </c>
      <c r="B731" s="40" t="s">
        <v>913</v>
      </c>
      <c r="C731" s="38" t="s">
        <v>910</v>
      </c>
      <c r="D731" s="37" t="s">
        <v>911</v>
      </c>
      <c r="E731" s="41">
        <v>0</v>
      </c>
      <c r="F731" s="39">
        <v>37550</v>
      </c>
      <c r="G731" s="12"/>
      <c r="H731" s="12">
        <f t="shared" si="34"/>
        <v>0</v>
      </c>
      <c r="I731" s="12">
        <f t="shared" si="35"/>
        <v>0</v>
      </c>
      <c r="J731" s="12">
        <f t="shared" si="36"/>
        <v>0</v>
      </c>
      <c r="K731" s="14"/>
    </row>
    <row r="732" spans="1:11" ht="43.5" x14ac:dyDescent="0.3">
      <c r="A732" s="37">
        <v>724</v>
      </c>
      <c r="B732" s="37" t="s">
        <v>1093</v>
      </c>
      <c r="C732" s="38" t="s">
        <v>1091</v>
      </c>
      <c r="D732" s="37" t="s">
        <v>1092</v>
      </c>
      <c r="E732" s="39">
        <v>0</v>
      </c>
      <c r="F732" s="39">
        <v>161250</v>
      </c>
      <c r="G732" s="12"/>
      <c r="H732" s="12">
        <f t="shared" si="34"/>
        <v>0</v>
      </c>
      <c r="I732" s="12">
        <f t="shared" si="35"/>
        <v>0</v>
      </c>
      <c r="J732" s="12">
        <f t="shared" si="36"/>
        <v>0</v>
      </c>
      <c r="K732" s="14"/>
    </row>
    <row r="733" spans="1:11" ht="15.65" customHeight="1" x14ac:dyDescent="0.3">
      <c r="A733" s="47" t="s">
        <v>7</v>
      </c>
      <c r="B733" s="47"/>
      <c r="C733" s="47"/>
      <c r="D733" s="21"/>
      <c r="E733" s="35"/>
      <c r="F733" s="35"/>
      <c r="G733" s="22">
        <f>SUMPRODUCT($E$9:$E$732,G9:G732)</f>
        <v>0</v>
      </c>
      <c r="H733" s="48">
        <f>SUM(H9:H732)</f>
        <v>0</v>
      </c>
      <c r="I733" s="48"/>
      <c r="J733" s="48"/>
      <c r="K733" s="23"/>
    </row>
    <row r="734" spans="1:11" ht="15.5" x14ac:dyDescent="0.3">
      <c r="A734" s="47" t="s">
        <v>8</v>
      </c>
      <c r="B734" s="47"/>
      <c r="C734" s="47"/>
      <c r="D734" s="21"/>
      <c r="E734" s="35"/>
      <c r="F734" s="35"/>
      <c r="G734" s="22">
        <f>SUMPRODUCT($F$9:$F$732,G9:G732)</f>
        <v>0</v>
      </c>
      <c r="H734" s="48">
        <f>SUM(I9:I732)</f>
        <v>0</v>
      </c>
      <c r="I734" s="48"/>
      <c r="J734" s="48"/>
      <c r="K734" s="23"/>
    </row>
    <row r="735" spans="1:11" ht="15.65" customHeight="1" x14ac:dyDescent="0.3">
      <c r="A735" s="47" t="s">
        <v>9</v>
      </c>
      <c r="B735" s="47"/>
      <c r="C735" s="47"/>
      <c r="D735" s="21"/>
      <c r="E735" s="35"/>
      <c r="F735" s="35"/>
      <c r="G735" s="22">
        <f>SUM(G733:G734)</f>
        <v>0</v>
      </c>
      <c r="H735" s="48">
        <f>H733+H734</f>
        <v>0</v>
      </c>
      <c r="I735" s="48"/>
      <c r="J735" s="48"/>
      <c r="K735" s="23"/>
    </row>
    <row r="736" spans="1:11" ht="14.5" x14ac:dyDescent="0.35">
      <c r="G736" s="26"/>
      <c r="J736" s="27" t="b">
        <f>H735=G735</f>
        <v>1</v>
      </c>
    </row>
  </sheetData>
  <autoFilter ref="A8:K735" xr:uid="{00000000-0001-0000-0000-000000000000}"/>
  <mergeCells count="14">
    <mergeCell ref="K6:K7"/>
    <mergeCell ref="H6:J6"/>
    <mergeCell ref="G6:G7"/>
    <mergeCell ref="A6:A7"/>
    <mergeCell ref="B6:B7"/>
    <mergeCell ref="C6:C7"/>
    <mergeCell ref="D6:D7"/>
    <mergeCell ref="E6:F6"/>
    <mergeCell ref="A733:C733"/>
    <mergeCell ref="H733:J733"/>
    <mergeCell ref="A734:C734"/>
    <mergeCell ref="H734:J734"/>
    <mergeCell ref="A735:C735"/>
    <mergeCell ref="H735:J735"/>
  </mergeCells>
  <conditionalFormatting sqref="B9:B732">
    <cfRule type="duplicateValues" dxfId="0" priority="6"/>
  </conditionalFormatting>
  <pageMargins left="0.7" right="0.7" top="0.75" bottom="0.75" header="0.3" footer="0.3"/>
  <pageSetup paperSize="9" scale="31" orientation="portrait" r:id="rId1"/>
  <colBreaks count="1" manualBreakCount="1">
    <brk id="16" max="25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vt:lpstr>
      <vt:lpstr>BoQ!Print_Area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MN Arifin</cp:lastModifiedBy>
  <dcterms:created xsi:type="dcterms:W3CDTF">2020-12-11T06:26:35Z</dcterms:created>
  <dcterms:modified xsi:type="dcterms:W3CDTF">2026-04-16T05:11:43Z</dcterms:modified>
</cp:coreProperties>
</file>